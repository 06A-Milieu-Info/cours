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259" documentId="13_ncr:1_{20E6CD85-1E99-4232-BB0D-ACCAC8A994B1}" xr6:coauthVersionLast="47" xr6:coauthVersionMax="47" xr10:uidLastSave="{8A931F92-AC1A-4695-81A5-7A6A91FD14F8}"/>
  <bookViews>
    <workbookView xWindow="-108" yWindow="-108" windowWidth="23256" windowHeight="12456" activeTab="3" xr2:uid="{00000000-000D-0000-FFFF-FFFF00000000}"/>
  </bookViews>
  <sheets>
    <sheet name="Réponses-01" sheetId="6" r:id="rId1"/>
    <sheet name="Réponses-02" sheetId="5" r:id="rId2"/>
    <sheet name="Solution-01" sheetId="1" r:id="rId3"/>
    <sheet name="Solution-02" sheetId="4" r:id="rId4"/>
    <sheet name="Solution-02 v2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4" l="1"/>
  <c r="J19" i="7"/>
  <c r="J17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E4" i="1"/>
  <c r="D4" i="1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E5" i="1"/>
  <c r="E6" i="1"/>
  <c r="E7" i="1"/>
  <c r="D5" i="1"/>
  <c r="D6" i="1"/>
  <c r="D7" i="1"/>
</calcChain>
</file>

<file path=xl/sharedStrings.xml><?xml version="1.0" encoding="utf-8"?>
<sst xmlns="http://schemas.openxmlformats.org/spreadsheetml/2006/main" count="102" uniqueCount="42">
  <si>
    <r>
      <t xml:space="preserve">Une entreprise verse une </t>
    </r>
    <r>
      <rPr>
        <b/>
        <sz val="14"/>
        <rFont val="Arial"/>
        <family val="2"/>
      </rPr>
      <t>prime de performance</t>
    </r>
    <r>
      <rPr>
        <sz val="14"/>
        <rFont val="Arial"/>
        <family val="2"/>
      </rPr>
      <t xml:space="preserve"> à certains employés</t>
    </r>
  </si>
  <si>
    <t>Employé</t>
  </si>
  <si>
    <t>Heures travaillées</t>
  </si>
  <si>
    <t>Ventes ($)</t>
  </si>
  <si>
    <t>Prime</t>
  </si>
  <si>
    <t>Admissible</t>
  </si>
  <si>
    <r>
      <t xml:space="preserve">Un employé reçoit </t>
    </r>
    <r>
      <rPr>
        <b/>
        <sz val="10"/>
        <rFont val="Arial"/>
        <family val="2"/>
      </rPr>
      <t>une prime de 500</t>
    </r>
    <r>
      <rPr>
        <sz val="10"/>
        <rFont val="Arial"/>
        <family val="2"/>
      </rPr>
      <t xml:space="preserve"> $ si :
il a travaillé </t>
    </r>
    <r>
      <rPr>
        <b/>
        <sz val="10"/>
        <rFont val="Arial"/>
        <family val="2"/>
      </rPr>
      <t>40 heures ou plus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ET</t>
    </r>
    <r>
      <rPr>
        <sz val="10"/>
        <rFont val="Arial"/>
        <family val="2"/>
      </rPr>
      <t xml:space="preserve">
il a réalisé au moins </t>
    </r>
    <r>
      <rPr>
        <b/>
        <sz val="10"/>
        <rFont val="Arial"/>
        <family val="2"/>
      </rPr>
      <t>10 000</t>
    </r>
    <r>
      <rPr>
        <sz val="10"/>
        <rFont val="Arial"/>
        <family val="2"/>
      </rPr>
      <t xml:space="preserve"> $ en ventes
</t>
    </r>
    <r>
      <rPr>
        <b/>
        <sz val="10"/>
        <rFont val="Arial"/>
        <family val="2"/>
      </rPr>
      <t>Sinon, la prime est 0</t>
    </r>
    <r>
      <rPr>
        <sz val="10"/>
        <rFont val="Arial"/>
        <family val="2"/>
      </rPr>
      <t xml:space="preserve"> $.</t>
    </r>
  </si>
  <si>
    <t>Alex</t>
  </si>
  <si>
    <t>Sam</t>
  </si>
  <si>
    <t>Kim</t>
  </si>
  <si>
    <t>Jo</t>
  </si>
  <si>
    <r>
      <rPr>
        <b/>
        <sz val="10"/>
        <rFont val="Arial"/>
        <family val="2"/>
      </rPr>
      <t>Partie 1 — Fonction SI</t>
    </r>
    <r>
      <rPr>
        <sz val="10"/>
        <rFont val="Arial"/>
        <family val="2"/>
      </rPr>
      <t xml:space="preserve">
Dans la colonne </t>
    </r>
    <r>
      <rPr>
        <b/>
        <sz val="10"/>
        <rFont val="Arial"/>
        <family val="2"/>
      </rPr>
      <t>Prime</t>
    </r>
    <r>
      <rPr>
        <sz val="10"/>
        <rFont val="Arial"/>
        <family val="2"/>
      </rPr>
      <t xml:space="preserve"> :
Écrire une formule avec la </t>
    </r>
    <r>
      <rPr>
        <b/>
        <sz val="10"/>
        <rFont val="Arial"/>
        <family val="2"/>
      </rPr>
      <t>fonction SI</t>
    </r>
    <r>
      <rPr>
        <sz val="10"/>
        <rFont val="Arial"/>
        <family val="2"/>
      </rPr>
      <t xml:space="preserve">
La condition du SI doit vérifier uniquement </t>
    </r>
    <r>
      <rPr>
        <b/>
        <sz val="10"/>
        <rFont val="Arial"/>
        <family val="2"/>
      </rPr>
      <t>heures travaillées ≥ 40</t>
    </r>
    <r>
      <rPr>
        <sz val="10"/>
        <rFont val="Arial"/>
        <family val="2"/>
      </rPr>
      <t xml:space="preserve">
La valeur retournée :
</t>
    </r>
    <r>
      <rPr>
        <b/>
        <sz val="10"/>
        <rFont val="Arial"/>
        <family val="2"/>
      </rPr>
      <t>500 si admissible
0 sinon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SI(condition; 500; 0)</t>
    </r>
  </si>
  <si>
    <r>
      <rPr>
        <b/>
        <sz val="10"/>
        <rFont val="Arial"/>
        <family val="2"/>
      </rPr>
      <t>Partie 3 — Copier et valider</t>
    </r>
    <r>
      <rPr>
        <sz val="10"/>
        <rFont val="Arial"/>
      </rPr>
      <t xml:space="preserve">
Copier la formule pour tous les employés
Vérifier que :
Kim reçoit la prime
Alex et Jo et Sam ne la reçoivent pas</t>
    </r>
  </si>
  <si>
    <r>
      <rPr>
        <b/>
        <sz val="10"/>
        <rFont val="Arial"/>
        <family val="2"/>
      </rPr>
      <t>Partie 2 — Ajouter la fonction ET (dans la condition)</t>
    </r>
    <r>
      <rPr>
        <sz val="10"/>
        <rFont val="Arial"/>
      </rPr>
      <t xml:space="preserve">
Compléter maintenant la condition du SI à l’aide de la fonction </t>
    </r>
    <r>
      <rPr>
        <b/>
        <sz val="10"/>
        <rFont val="Arial"/>
        <family val="2"/>
      </rPr>
      <t>ET</t>
    </r>
    <r>
      <rPr>
        <sz val="10"/>
        <rFont val="Arial"/>
      </rPr>
      <t xml:space="preserve">.
La condition doit vérifier :
</t>
    </r>
    <r>
      <rPr>
        <b/>
        <sz val="10"/>
        <rFont val="Arial"/>
        <family val="2"/>
      </rPr>
      <t>heures travaillées ≥ 40</t>
    </r>
    <r>
      <rPr>
        <sz val="10"/>
        <rFont val="Arial"/>
      </rPr>
      <t xml:space="preserve">
</t>
    </r>
    <r>
      <rPr>
        <b/>
        <sz val="10"/>
        <rFont val="Arial"/>
        <family val="2"/>
      </rPr>
      <t>ventes ≥ 10 000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SI(ET(condition1; condition2); 500; 0)</t>
    </r>
  </si>
  <si>
    <r>
      <rPr>
        <b/>
        <sz val="10"/>
        <rFont val="Arial"/>
        <family val="2"/>
      </rPr>
      <t>Partie 4 — colonne Admissible</t>
    </r>
    <r>
      <rPr>
        <sz val="10"/>
        <rFont val="Arial"/>
        <family val="2"/>
      </rPr>
      <t xml:space="preserve">
Ajouter une colonne Admissible qui affiche :
"Oui" si la prime est de 500
"Non" sinon</t>
    </r>
  </si>
  <si>
    <t>Mathématiques 101</t>
  </si>
  <si>
    <t>Fernand Beaulieu</t>
  </si>
  <si>
    <t>Étudiant</t>
  </si>
  <si>
    <t>Gr.:</t>
  </si>
  <si>
    <t>Examen 1</t>
  </si>
  <si>
    <t>Examen 2</t>
  </si>
  <si>
    <t>Examen 3</t>
  </si>
  <si>
    <t>Examen 4</t>
  </si>
  <si>
    <t>Moyenne</t>
  </si>
  <si>
    <t>Plus élevée</t>
  </si>
  <si>
    <t>Plus basse</t>
  </si>
  <si>
    <t>Dupuis</t>
  </si>
  <si>
    <t>Béliveau</t>
  </si>
  <si>
    <t>Brossard</t>
  </si>
  <si>
    <t>Durivage</t>
  </si>
  <si>
    <t>Brassard</t>
  </si>
  <si>
    <t>Bossé</t>
  </si>
  <si>
    <t>Mercier</t>
  </si>
  <si>
    <t>Leclerc</t>
  </si>
  <si>
    <t>Girard</t>
  </si>
  <si>
    <t>Jodoin</t>
  </si>
  <si>
    <t>Toupin</t>
  </si>
  <si>
    <t>Moyenne de ceux qui passent:</t>
  </si>
  <si>
    <t>À l'aide de la fonction MOYENNE.SI, prendre en compte 
seulement les étudiants ayant 60% et plus à leur examen.
Indice: mettre la condition entre guillements "&gt;=60"</t>
  </si>
  <si>
    <r>
      <rPr>
        <b/>
        <sz val="10"/>
        <rFont val="Arial"/>
        <family val="2"/>
      </rPr>
      <t>Partie 1 — Fonction SI</t>
    </r>
    <r>
      <rPr>
        <sz val="10"/>
        <rFont val="Arial"/>
        <family val="2"/>
      </rPr>
      <t xml:space="preserve">
Dans la colonne </t>
    </r>
    <r>
      <rPr>
        <b/>
        <sz val="10"/>
        <rFont val="Arial"/>
        <family val="2"/>
      </rPr>
      <t>Prime</t>
    </r>
    <r>
      <rPr>
        <sz val="10"/>
        <rFont val="Arial"/>
        <family val="2"/>
      </rPr>
      <t xml:space="preserve"> :
Écrire une formule avec la </t>
    </r>
    <r>
      <rPr>
        <b/>
        <sz val="10"/>
        <rFont val="Arial"/>
        <family val="2"/>
      </rPr>
      <t>fonction SI</t>
    </r>
    <r>
      <rPr>
        <sz val="10"/>
        <rFont val="Arial"/>
        <family val="2"/>
      </rPr>
      <t xml:space="preserve">
La condition du SI doit vérifier uniquement heures travaillées ≥ 40
La valeur retournée :
</t>
    </r>
    <r>
      <rPr>
        <b/>
        <sz val="10"/>
        <rFont val="Arial"/>
        <family val="2"/>
      </rPr>
      <t>500 si admissible
0 sinon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SI(condition; 500; 0)</t>
    </r>
  </si>
  <si>
    <t>&lt;-- OOPS</t>
  </si>
  <si>
    <t>SIERREUR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</si>
</sst>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0" borderId="0" xfId="0" applyFont="1"/>
    <xf numFmtId="1" fontId="0" fillId="0" borderId="0" xfId="0" applyNumberFormat="1"/>
    <xf numFmtId="1" fontId="1" fillId="0" borderId="0" xfId="0" applyNumberFormat="1" applyFont="1"/>
    <xf numFmtId="0" fontId="2" fillId="4" borderId="0" xfId="0" applyFont="1" applyFill="1"/>
    <xf numFmtId="1" fontId="2" fillId="4" borderId="1" xfId="0" applyNumberFormat="1" applyFont="1" applyFill="1" applyBorder="1"/>
    <xf numFmtId="0" fontId="3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6" fillId="0" borderId="0" xfId="0" applyFont="1"/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5A07-7FD6-4E0E-8CAE-9E3B066D3913}">
  <dimension ref="A1:O26"/>
  <sheetViews>
    <sheetView topLeftCell="A2" zoomScale="115" zoomScaleNormal="115" workbookViewId="0">
      <selection activeCell="C16" sqref="C16"/>
    </sheetView>
  </sheetViews>
  <sheetFormatPr defaultColWidth="12.28515625" defaultRowHeight="15" customHeight="1"/>
  <cols>
    <col min="1" max="1" width="10.85546875" customWidth="1"/>
    <col min="2" max="2" width="16.7109375" bestFit="1" customWidth="1"/>
    <col min="3" max="3" width="13.42578125" customWidth="1"/>
    <col min="4" max="4" width="16.85546875" customWidth="1"/>
    <col min="5" max="5" width="24.7109375" customWidth="1"/>
    <col min="6" max="6" width="5" customWidth="1"/>
    <col min="7" max="7" width="12.28515625" customWidth="1"/>
  </cols>
  <sheetData>
    <row r="1" spans="1:15" ht="18">
      <c r="A1" s="18" t="s">
        <v>0</v>
      </c>
      <c r="B1" s="18"/>
      <c r="C1" s="18"/>
      <c r="D1" s="18"/>
      <c r="E1" s="18"/>
      <c r="F1" s="11"/>
    </row>
    <row r="2" spans="1:15" ht="15" customHeight="1" thickBot="1"/>
    <row r="3" spans="1:15" ht="25.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G3" s="19" t="s">
        <v>6</v>
      </c>
      <c r="H3" s="20"/>
      <c r="I3" s="20"/>
      <c r="J3" s="21"/>
    </row>
    <row r="4" spans="1:15" ht="15" customHeight="1">
      <c r="A4" s="13" t="s">
        <v>7</v>
      </c>
      <c r="B4" s="13">
        <v>38</v>
      </c>
      <c r="C4" s="13">
        <v>12000</v>
      </c>
      <c r="E4" s="14"/>
      <c r="F4" s="16"/>
      <c r="G4" s="22"/>
      <c r="H4" s="23"/>
      <c r="I4" s="23"/>
      <c r="J4" s="24"/>
    </row>
    <row r="5" spans="1:15" ht="15" customHeight="1">
      <c r="A5" s="13" t="s">
        <v>8</v>
      </c>
      <c r="B5" s="13">
        <v>42</v>
      </c>
      <c r="C5" s="13">
        <v>8000</v>
      </c>
      <c r="D5" s="14"/>
      <c r="E5" s="14"/>
      <c r="F5" s="16"/>
      <c r="G5" s="22"/>
      <c r="H5" s="23"/>
      <c r="I5" s="23"/>
      <c r="J5" s="24"/>
    </row>
    <row r="6" spans="1:15" ht="15" customHeight="1">
      <c r="A6" s="13" t="s">
        <v>9</v>
      </c>
      <c r="B6" s="13">
        <v>40</v>
      </c>
      <c r="C6" s="13">
        <v>10000</v>
      </c>
      <c r="D6" s="14"/>
      <c r="E6" s="14"/>
      <c r="F6" s="16"/>
      <c r="G6" s="22"/>
      <c r="H6" s="23"/>
      <c r="I6" s="23"/>
      <c r="J6" s="24"/>
    </row>
    <row r="7" spans="1:15" ht="15" customHeight="1" thickBot="1">
      <c r="A7" s="13" t="s">
        <v>10</v>
      </c>
      <c r="B7" s="13">
        <v>35</v>
      </c>
      <c r="C7" s="13">
        <v>9000</v>
      </c>
      <c r="D7" s="14"/>
      <c r="E7" s="14"/>
      <c r="F7" s="16"/>
      <c r="G7" s="25"/>
      <c r="H7" s="26"/>
      <c r="I7" s="26"/>
      <c r="J7" s="27"/>
    </row>
    <row r="8" spans="1:15" ht="15" customHeight="1" thickBot="1">
      <c r="G8" s="15"/>
      <c r="H8" s="15"/>
      <c r="I8" s="15"/>
      <c r="J8" s="15"/>
    </row>
    <row r="9" spans="1:15" ht="13.15" customHeight="1">
      <c r="G9" s="19" t="s">
        <v>11</v>
      </c>
      <c r="H9" s="28"/>
      <c r="I9" s="28"/>
      <c r="J9" s="29"/>
      <c r="L9" s="19" t="s">
        <v>12</v>
      </c>
      <c r="M9" s="28"/>
      <c r="N9" s="28"/>
      <c r="O9" s="29"/>
    </row>
    <row r="10" spans="1:15" ht="15" customHeight="1">
      <c r="G10" s="30"/>
      <c r="H10" s="31"/>
      <c r="I10" s="31"/>
      <c r="J10" s="32"/>
      <c r="L10" s="30"/>
      <c r="M10" s="31"/>
      <c r="N10" s="31"/>
      <c r="O10" s="32"/>
    </row>
    <row r="11" spans="1:15" ht="15" customHeight="1">
      <c r="G11" s="30"/>
      <c r="H11" s="31"/>
      <c r="I11" s="31"/>
      <c r="J11" s="32"/>
      <c r="L11" s="30"/>
      <c r="M11" s="31"/>
      <c r="N11" s="31"/>
      <c r="O11" s="32"/>
    </row>
    <row r="12" spans="1:15" ht="12.75">
      <c r="G12" s="30"/>
      <c r="H12" s="31"/>
      <c r="I12" s="31"/>
      <c r="J12" s="32"/>
      <c r="L12" s="30"/>
      <c r="M12" s="31"/>
      <c r="N12" s="31"/>
      <c r="O12" s="32"/>
    </row>
    <row r="13" spans="1:15" ht="58.9" customHeight="1" thickBot="1">
      <c r="G13" s="33"/>
      <c r="H13" s="34"/>
      <c r="I13" s="34"/>
      <c r="J13" s="35"/>
      <c r="L13" s="33"/>
      <c r="M13" s="34"/>
      <c r="N13" s="34"/>
      <c r="O13" s="35"/>
    </row>
    <row r="14" spans="1:15" ht="13.5" thickBot="1"/>
    <row r="15" spans="1:15" ht="12.75">
      <c r="G15" s="19" t="s">
        <v>13</v>
      </c>
      <c r="H15" s="28"/>
      <c r="I15" s="28"/>
      <c r="J15" s="29"/>
      <c r="L15" s="19" t="s">
        <v>14</v>
      </c>
      <c r="M15" s="28"/>
      <c r="N15" s="28"/>
      <c r="O15" s="29"/>
    </row>
    <row r="16" spans="1:15" ht="12.75">
      <c r="G16" s="30"/>
      <c r="H16" s="31"/>
      <c r="I16" s="31"/>
      <c r="J16" s="32"/>
      <c r="L16" s="30"/>
      <c r="M16" s="31"/>
      <c r="N16" s="31"/>
      <c r="O16" s="32"/>
    </row>
    <row r="17" spans="7:15" ht="15" customHeight="1">
      <c r="G17" s="30"/>
      <c r="H17" s="31"/>
      <c r="I17" s="31"/>
      <c r="J17" s="32"/>
      <c r="L17" s="30"/>
      <c r="M17" s="31"/>
      <c r="N17" s="31"/>
      <c r="O17" s="32"/>
    </row>
    <row r="18" spans="7:15" ht="35.450000000000003" customHeight="1">
      <c r="G18" s="30"/>
      <c r="H18" s="31"/>
      <c r="I18" s="31"/>
      <c r="J18" s="32"/>
      <c r="L18" s="30"/>
      <c r="M18" s="31"/>
      <c r="N18" s="31"/>
      <c r="O18" s="32"/>
    </row>
    <row r="19" spans="7:15" ht="31.9" customHeight="1" thickBot="1">
      <c r="G19" s="33"/>
      <c r="H19" s="34"/>
      <c r="I19" s="34"/>
      <c r="J19" s="35"/>
      <c r="L19" s="33"/>
      <c r="M19" s="34"/>
      <c r="N19" s="34"/>
      <c r="O19" s="35"/>
    </row>
    <row r="25" spans="7:15" ht="25.15" customHeight="1"/>
    <row r="26" spans="7:15" ht="25.15" customHeight="1"/>
  </sheetData>
  <mergeCells count="6">
    <mergeCell ref="A1:E1"/>
    <mergeCell ref="G3:J7"/>
    <mergeCell ref="G9:J13"/>
    <mergeCell ref="L9:O13"/>
    <mergeCell ref="G15:J19"/>
    <mergeCell ref="L15:O19"/>
  </mergeCells>
  <pageMargins left="0.78740157499999996" right="0.78740157499999996" top="0.984251969" bottom="0.984251969" header="0.4921259845" footer="0.4921259845"/>
  <pageSetup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010C-910B-4B04-B1D4-21EBA174D702}">
  <dimension ref="A1:M24"/>
  <sheetViews>
    <sheetView workbookViewId="0">
      <selection activeCell="M25" sqref="M25"/>
    </sheetView>
  </sheetViews>
  <sheetFormatPr defaultColWidth="11.42578125" defaultRowHeight="12.75"/>
  <cols>
    <col min="2" max="2" width="15" bestFit="1" customWidth="1"/>
    <col min="3" max="6" width="11.7109375" customWidth="1"/>
    <col min="7" max="7" width="1.85546875" customWidth="1"/>
    <col min="8" max="10" width="17.140625" customWidth="1"/>
    <col min="11" max="11" width="1.140625" customWidth="1"/>
    <col min="12" max="12" width="11.42578125" customWidth="1"/>
  </cols>
  <sheetData>
    <row r="1" spans="1:12">
      <c r="A1" s="6" t="s">
        <v>15</v>
      </c>
      <c r="B1" s="6"/>
    </row>
    <row r="2" spans="1:12">
      <c r="A2" t="s">
        <v>16</v>
      </c>
    </row>
    <row r="4" spans="1:12" ht="15">
      <c r="A4" s="3" t="s">
        <v>17</v>
      </c>
      <c r="B4" s="3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2"/>
      <c r="H4" s="5" t="s">
        <v>23</v>
      </c>
      <c r="I4" s="5" t="s">
        <v>24</v>
      </c>
      <c r="J4" s="5" t="s">
        <v>25</v>
      </c>
      <c r="K4" s="2"/>
    </row>
    <row r="5" spans="1:12" ht="15">
      <c r="A5" t="s">
        <v>26</v>
      </c>
      <c r="B5">
        <v>1</v>
      </c>
      <c r="C5">
        <v>90</v>
      </c>
      <c r="D5" s="7">
        <v>79</v>
      </c>
      <c r="E5">
        <v>53</v>
      </c>
      <c r="F5" s="7">
        <v>68</v>
      </c>
      <c r="G5" s="2"/>
      <c r="H5">
        <f>AVERAGE(C5:F5)</f>
        <v>72.5</v>
      </c>
      <c r="I5">
        <f>MAX(C5:F5)</f>
        <v>90</v>
      </c>
      <c r="J5">
        <f>MIN(C5:F5)</f>
        <v>53</v>
      </c>
      <c r="K5" s="2"/>
    </row>
    <row r="6" spans="1:12" ht="15">
      <c r="A6" t="s">
        <v>27</v>
      </c>
      <c r="B6">
        <v>1</v>
      </c>
      <c r="C6">
        <v>35</v>
      </c>
      <c r="D6" s="7">
        <v>61</v>
      </c>
      <c r="E6">
        <v>41</v>
      </c>
      <c r="F6" s="7">
        <v>53</v>
      </c>
      <c r="G6" s="2"/>
      <c r="H6">
        <f>AVERAGE(C6:F6)</f>
        <v>47.5</v>
      </c>
      <c r="I6">
        <f t="shared" ref="I6:I15" si="0">MAX(C6:F6)</f>
        <v>61</v>
      </c>
      <c r="J6">
        <f t="shared" ref="J6:J15" si="1">MIN(C6:F6)</f>
        <v>35</v>
      </c>
      <c r="K6" s="2"/>
    </row>
    <row r="7" spans="1:12" ht="15">
      <c r="A7" t="s">
        <v>28</v>
      </c>
      <c r="B7">
        <v>1</v>
      </c>
      <c r="C7">
        <v>41</v>
      </c>
      <c r="D7" s="7">
        <v>72</v>
      </c>
      <c r="E7">
        <v>48</v>
      </c>
      <c r="F7" s="7">
        <v>62</v>
      </c>
      <c r="G7" s="2"/>
      <c r="H7">
        <f t="shared" ref="H7:H15" si="2">AVERAGE(C7:F7)</f>
        <v>55.75</v>
      </c>
      <c r="I7">
        <f t="shared" si="0"/>
        <v>72</v>
      </c>
      <c r="J7">
        <f t="shared" si="1"/>
        <v>41</v>
      </c>
      <c r="K7" s="2"/>
    </row>
    <row r="8" spans="1:12" ht="15">
      <c r="A8" t="s">
        <v>29</v>
      </c>
      <c r="B8">
        <v>1</v>
      </c>
      <c r="C8">
        <v>40</v>
      </c>
      <c r="D8" s="7">
        <v>70</v>
      </c>
      <c r="E8">
        <v>87</v>
      </c>
      <c r="F8" s="7">
        <v>61</v>
      </c>
      <c r="G8" s="2"/>
      <c r="H8">
        <f>AVERAGE(C8:F8)</f>
        <v>64.5</v>
      </c>
      <c r="I8">
        <f t="shared" si="0"/>
        <v>87</v>
      </c>
      <c r="J8">
        <f t="shared" si="1"/>
        <v>40</v>
      </c>
      <c r="K8" s="2"/>
    </row>
    <row r="9" spans="1:12" ht="15">
      <c r="A9" s="1" t="s">
        <v>30</v>
      </c>
      <c r="B9">
        <v>1</v>
      </c>
      <c r="C9" s="1">
        <v>92</v>
      </c>
      <c r="D9" s="8">
        <v>79</v>
      </c>
      <c r="E9">
        <v>60</v>
      </c>
      <c r="F9" s="7">
        <v>68</v>
      </c>
      <c r="G9" s="2"/>
      <c r="H9">
        <f t="shared" si="2"/>
        <v>74.75</v>
      </c>
      <c r="I9">
        <f t="shared" si="0"/>
        <v>92</v>
      </c>
      <c r="J9">
        <f t="shared" si="1"/>
        <v>60</v>
      </c>
      <c r="K9" s="2"/>
    </row>
    <row r="10" spans="1:12" ht="15">
      <c r="A10" s="1" t="s">
        <v>31</v>
      </c>
      <c r="B10" s="1">
        <v>2</v>
      </c>
      <c r="C10" s="1">
        <v>37</v>
      </c>
      <c r="D10" s="8">
        <v>65</v>
      </c>
      <c r="E10">
        <v>43</v>
      </c>
      <c r="F10" s="7">
        <v>56</v>
      </c>
      <c r="G10" s="2"/>
      <c r="H10">
        <f t="shared" si="2"/>
        <v>50.25</v>
      </c>
      <c r="I10">
        <f t="shared" si="0"/>
        <v>65</v>
      </c>
      <c r="J10">
        <f t="shared" si="1"/>
        <v>37</v>
      </c>
      <c r="K10" s="2"/>
    </row>
    <row r="11" spans="1:12" ht="15">
      <c r="A11" s="1" t="s">
        <v>32</v>
      </c>
      <c r="B11" s="1">
        <v>2</v>
      </c>
      <c r="C11" s="1">
        <v>41</v>
      </c>
      <c r="D11" s="8">
        <v>72</v>
      </c>
      <c r="E11">
        <v>48</v>
      </c>
      <c r="F11" s="7">
        <v>62</v>
      </c>
      <c r="G11" s="2"/>
      <c r="H11">
        <f t="shared" si="2"/>
        <v>55.75</v>
      </c>
      <c r="I11">
        <f t="shared" si="0"/>
        <v>72</v>
      </c>
      <c r="J11">
        <f t="shared" si="1"/>
        <v>41</v>
      </c>
      <c r="K11" s="2"/>
    </row>
    <row r="12" spans="1:12" ht="15">
      <c r="A12" s="1" t="s">
        <v>33</v>
      </c>
      <c r="B12" s="1">
        <v>2</v>
      </c>
      <c r="C12" s="1">
        <v>99</v>
      </c>
      <c r="D12" s="8">
        <v>70</v>
      </c>
      <c r="E12">
        <v>47</v>
      </c>
      <c r="F12" s="7">
        <v>61</v>
      </c>
      <c r="G12" s="2"/>
      <c r="H12">
        <f t="shared" si="2"/>
        <v>69.25</v>
      </c>
      <c r="I12">
        <f t="shared" si="0"/>
        <v>99</v>
      </c>
      <c r="J12">
        <f t="shared" si="1"/>
        <v>47</v>
      </c>
      <c r="K12" s="2"/>
    </row>
    <row r="13" spans="1:12" ht="15">
      <c r="A13" s="1" t="s">
        <v>34</v>
      </c>
      <c r="B13" s="1">
        <v>2</v>
      </c>
      <c r="C13" s="1">
        <v>45</v>
      </c>
      <c r="D13" s="8">
        <v>79</v>
      </c>
      <c r="E13">
        <v>100</v>
      </c>
      <c r="F13" s="7">
        <v>68</v>
      </c>
      <c r="G13" s="2"/>
      <c r="H13">
        <f t="shared" si="2"/>
        <v>73</v>
      </c>
      <c r="I13">
        <f t="shared" si="0"/>
        <v>100</v>
      </c>
      <c r="J13">
        <f t="shared" si="1"/>
        <v>45</v>
      </c>
      <c r="K13" s="2"/>
    </row>
    <row r="14" spans="1:12" ht="15">
      <c r="A14" s="1" t="s">
        <v>35</v>
      </c>
      <c r="B14" s="1">
        <v>2</v>
      </c>
      <c r="C14" s="1">
        <v>62</v>
      </c>
      <c r="D14" s="8">
        <v>65</v>
      </c>
      <c r="E14">
        <v>60</v>
      </c>
      <c r="F14" s="7">
        <v>65</v>
      </c>
      <c r="G14" s="2"/>
      <c r="H14">
        <f t="shared" si="2"/>
        <v>63</v>
      </c>
      <c r="I14">
        <f t="shared" si="0"/>
        <v>65</v>
      </c>
      <c r="J14">
        <f t="shared" si="1"/>
        <v>60</v>
      </c>
      <c r="K14" s="2"/>
    </row>
    <row r="15" spans="1:12" ht="15">
      <c r="A15" s="1" t="s">
        <v>36</v>
      </c>
      <c r="B15" s="1">
        <v>2</v>
      </c>
      <c r="C15" s="1">
        <v>41</v>
      </c>
      <c r="D15" s="8">
        <v>72</v>
      </c>
      <c r="E15">
        <v>48</v>
      </c>
      <c r="F15" s="7">
        <v>62</v>
      </c>
      <c r="G15" s="2"/>
      <c r="H15">
        <f t="shared" si="2"/>
        <v>55.75</v>
      </c>
      <c r="I15">
        <f t="shared" si="0"/>
        <v>72</v>
      </c>
      <c r="J15">
        <f t="shared" si="1"/>
        <v>41</v>
      </c>
      <c r="K15" s="2"/>
    </row>
    <row r="16" spans="1:12" ht="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</row>
    <row r="17" spans="8:13">
      <c r="H17" s="36" t="s">
        <v>37</v>
      </c>
      <c r="I17" s="36"/>
      <c r="J17" s="10"/>
      <c r="K17" s="9"/>
      <c r="L17" s="9"/>
      <c r="M17" s="9"/>
    </row>
    <row r="19" spans="8:13" ht="13.5" thickBot="1"/>
    <row r="20" spans="8:13">
      <c r="H20" s="19" t="s">
        <v>38</v>
      </c>
      <c r="I20" s="28"/>
      <c r="J20" s="29"/>
    </row>
    <row r="21" spans="8:13">
      <c r="H21" s="30"/>
      <c r="I21" s="31"/>
      <c r="J21" s="32"/>
    </row>
    <row r="22" spans="8:13">
      <c r="H22" s="30"/>
      <c r="I22" s="31"/>
      <c r="J22" s="32"/>
    </row>
    <row r="23" spans="8:13">
      <c r="H23" s="30"/>
      <c r="I23" s="31"/>
      <c r="J23" s="32"/>
    </row>
    <row r="24" spans="8:13" ht="13.5" thickBot="1">
      <c r="H24" s="33"/>
      <c r="I24" s="34"/>
      <c r="J24" s="35"/>
    </row>
  </sheetData>
  <mergeCells count="2">
    <mergeCell ref="H17:I17"/>
    <mergeCell ref="H20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zoomScaleNormal="100" workbookViewId="0">
      <selection activeCell="G14" sqref="G14"/>
    </sheetView>
  </sheetViews>
  <sheetFormatPr defaultColWidth="12.28515625" defaultRowHeight="15" customHeight="1"/>
  <cols>
    <col min="1" max="1" width="8.42578125" bestFit="1" customWidth="1"/>
    <col min="2" max="2" width="16.7109375" bestFit="1" customWidth="1"/>
    <col min="3" max="3" width="13.42578125" customWidth="1"/>
    <col min="4" max="4" width="16.85546875" customWidth="1"/>
    <col min="5" max="5" width="24.7109375" customWidth="1"/>
    <col min="6" max="6" width="5" customWidth="1"/>
    <col min="7" max="7" width="12.28515625" customWidth="1"/>
  </cols>
  <sheetData>
    <row r="1" spans="1:15" ht="18">
      <c r="A1" s="18" t="s">
        <v>0</v>
      </c>
      <c r="B1" s="18"/>
      <c r="C1" s="18"/>
      <c r="D1" s="18"/>
      <c r="E1" s="18"/>
      <c r="F1" s="11"/>
    </row>
    <row r="2" spans="1:15" ht="15" customHeight="1" thickBot="1"/>
    <row r="3" spans="1:15" ht="15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G3" s="19" t="s">
        <v>6</v>
      </c>
      <c r="H3" s="20"/>
      <c r="I3" s="20"/>
      <c r="J3" s="21"/>
    </row>
    <row r="4" spans="1:15" ht="15" customHeight="1">
      <c r="A4" s="13" t="s">
        <v>7</v>
      </c>
      <c r="B4" s="13">
        <v>38</v>
      </c>
      <c r="C4" s="13">
        <v>12000</v>
      </c>
      <c r="D4" s="14">
        <f>IF(AND(C4&gt;=10000, B4&gt;=40),500,0)</f>
        <v>0</v>
      </c>
      <c r="E4" s="14" t="str">
        <f>IF(D4=500,"Oui","Non")</f>
        <v>Non</v>
      </c>
      <c r="F4" s="16"/>
      <c r="G4" s="22"/>
      <c r="H4" s="23"/>
      <c r="I4" s="23"/>
      <c r="J4" s="24"/>
    </row>
    <row r="5" spans="1:15" ht="15" customHeight="1">
      <c r="A5" s="13" t="s">
        <v>8</v>
      </c>
      <c r="B5" s="13">
        <v>42</v>
      </c>
      <c r="C5" s="13">
        <v>8000</v>
      </c>
      <c r="D5" s="14">
        <f t="shared" ref="D5:D7" si="0">IF(AND(C5&gt;=10000, B5&gt;=40),500,0)</f>
        <v>0</v>
      </c>
      <c r="E5" s="14" t="str">
        <f t="shared" ref="E5:E7" si="1">IF(D5=500,"Oui","Non")</f>
        <v>Non</v>
      </c>
      <c r="F5" s="16"/>
      <c r="G5" s="22"/>
      <c r="H5" s="23"/>
      <c r="I5" s="23"/>
      <c r="J5" s="24"/>
    </row>
    <row r="6" spans="1:15" ht="15" customHeight="1">
      <c r="A6" s="13" t="s">
        <v>9</v>
      </c>
      <c r="B6" s="13">
        <v>40</v>
      </c>
      <c r="C6" s="13">
        <v>10000</v>
      </c>
      <c r="D6" s="14">
        <f t="shared" si="0"/>
        <v>500</v>
      </c>
      <c r="E6" s="14" t="str">
        <f t="shared" si="1"/>
        <v>Oui</v>
      </c>
      <c r="F6" s="16"/>
      <c r="G6" s="22"/>
      <c r="H6" s="23"/>
      <c r="I6" s="23"/>
      <c r="J6" s="24"/>
    </row>
    <row r="7" spans="1:15" ht="15" customHeight="1" thickBot="1">
      <c r="A7" s="13" t="s">
        <v>10</v>
      </c>
      <c r="B7" s="13">
        <v>35</v>
      </c>
      <c r="C7" s="13">
        <v>9000</v>
      </c>
      <c r="D7" s="14">
        <f t="shared" si="0"/>
        <v>0</v>
      </c>
      <c r="E7" s="14" t="str">
        <f t="shared" si="1"/>
        <v>Non</v>
      </c>
      <c r="F7" s="16"/>
      <c r="G7" s="25"/>
      <c r="H7" s="26"/>
      <c r="I7" s="26"/>
      <c r="J7" s="27"/>
    </row>
    <row r="8" spans="1:15" ht="15" customHeight="1" thickBot="1">
      <c r="G8" s="15"/>
      <c r="H8" s="15"/>
      <c r="I8" s="15"/>
      <c r="J8" s="15"/>
    </row>
    <row r="9" spans="1:15" ht="13.15" customHeight="1">
      <c r="G9" s="19" t="s">
        <v>39</v>
      </c>
      <c r="H9" s="28"/>
      <c r="I9" s="28"/>
      <c r="J9" s="29"/>
      <c r="L9" s="19" t="s">
        <v>12</v>
      </c>
      <c r="M9" s="28"/>
      <c r="N9" s="28"/>
      <c r="O9" s="29"/>
    </row>
    <row r="10" spans="1:15" ht="15" customHeight="1">
      <c r="G10" s="30"/>
      <c r="H10" s="31"/>
      <c r="I10" s="31"/>
      <c r="J10" s="32"/>
      <c r="L10" s="30"/>
      <c r="M10" s="31"/>
      <c r="N10" s="31"/>
      <c r="O10" s="32"/>
    </row>
    <row r="11" spans="1:15" ht="15" customHeight="1">
      <c r="G11" s="30"/>
      <c r="H11" s="31"/>
      <c r="I11" s="31"/>
      <c r="J11" s="32"/>
      <c r="L11" s="30"/>
      <c r="M11" s="31"/>
      <c r="N11" s="31"/>
      <c r="O11" s="32"/>
    </row>
    <row r="12" spans="1:15" ht="12.75">
      <c r="G12" s="30"/>
      <c r="H12" s="31"/>
      <c r="I12" s="31"/>
      <c r="J12" s="32"/>
      <c r="L12" s="30"/>
      <c r="M12" s="31"/>
      <c r="N12" s="31"/>
      <c r="O12" s="32"/>
    </row>
    <row r="13" spans="1:15" ht="58.9" customHeight="1" thickBot="1">
      <c r="G13" s="33"/>
      <c r="H13" s="34"/>
      <c r="I13" s="34"/>
      <c r="J13" s="35"/>
      <c r="L13" s="33"/>
      <c r="M13" s="34"/>
      <c r="N13" s="34"/>
      <c r="O13" s="35"/>
    </row>
    <row r="14" spans="1:15" ht="13.5" thickBot="1"/>
    <row r="15" spans="1:15" ht="12.75">
      <c r="G15" s="19" t="s">
        <v>13</v>
      </c>
      <c r="H15" s="28"/>
      <c r="I15" s="28"/>
      <c r="J15" s="29"/>
      <c r="L15" s="19" t="s">
        <v>14</v>
      </c>
      <c r="M15" s="28"/>
      <c r="N15" s="28"/>
      <c r="O15" s="29"/>
    </row>
    <row r="16" spans="1:15" ht="12.75">
      <c r="G16" s="30"/>
      <c r="H16" s="31"/>
      <c r="I16" s="31"/>
      <c r="J16" s="32"/>
      <c r="L16" s="30"/>
      <c r="M16" s="31"/>
      <c r="N16" s="31"/>
      <c r="O16" s="32"/>
    </row>
    <row r="17" spans="7:15" ht="15" customHeight="1">
      <c r="G17" s="30"/>
      <c r="H17" s="31"/>
      <c r="I17" s="31"/>
      <c r="J17" s="32"/>
      <c r="L17" s="30"/>
      <c r="M17" s="31"/>
      <c r="N17" s="31"/>
      <c r="O17" s="32"/>
    </row>
    <row r="18" spans="7:15" ht="35.450000000000003" customHeight="1">
      <c r="G18" s="30"/>
      <c r="H18" s="31"/>
      <c r="I18" s="31"/>
      <c r="J18" s="32"/>
      <c r="L18" s="30"/>
      <c r="M18" s="31"/>
      <c r="N18" s="31"/>
      <c r="O18" s="32"/>
    </row>
    <row r="19" spans="7:15" ht="31.9" customHeight="1" thickBot="1">
      <c r="G19" s="33"/>
      <c r="H19" s="34"/>
      <c r="I19" s="34"/>
      <c r="J19" s="35"/>
      <c r="L19" s="33"/>
      <c r="M19" s="34"/>
      <c r="N19" s="34"/>
      <c r="O19" s="35"/>
    </row>
    <row r="25" spans="7:15" ht="25.15" customHeight="1"/>
    <row r="26" spans="7:15" ht="25.15" customHeight="1"/>
  </sheetData>
  <mergeCells count="6">
    <mergeCell ref="L9:O13"/>
    <mergeCell ref="L15:O19"/>
    <mergeCell ref="A1:E1"/>
    <mergeCell ref="G3:J7"/>
    <mergeCell ref="G9:J13"/>
    <mergeCell ref="G15:J19"/>
  </mergeCells>
  <phoneticPr fontId="0" type="noConversion"/>
  <pageMargins left="0.78740157499999996" right="0.78740157499999996" top="0.984251969" bottom="0.984251969" header="0.4921259845" footer="0.4921259845"/>
  <pageSetup orientation="portrait" horizontalDpi="4294967295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DB3A-2C5C-47BF-8933-5D8B29CD9945}">
  <dimension ref="A1:M17"/>
  <sheetViews>
    <sheetView tabSelected="1" workbookViewId="0">
      <selection activeCell="J18" sqref="J18"/>
    </sheetView>
  </sheetViews>
  <sheetFormatPr defaultColWidth="11.42578125" defaultRowHeight="12.75"/>
  <cols>
    <col min="2" max="2" width="15" bestFit="1" customWidth="1"/>
    <col min="3" max="6" width="11.7109375" customWidth="1"/>
    <col min="7" max="7" width="1.85546875" customWidth="1"/>
    <col min="8" max="10" width="17.140625" customWidth="1"/>
    <col min="11" max="11" width="1.140625" customWidth="1"/>
    <col min="12" max="12" width="11.42578125" customWidth="1"/>
  </cols>
  <sheetData>
    <row r="1" spans="1:12">
      <c r="A1" s="6" t="s">
        <v>15</v>
      </c>
      <c r="B1" s="6"/>
    </row>
    <row r="2" spans="1:12">
      <c r="A2" t="s">
        <v>16</v>
      </c>
    </row>
    <row r="4" spans="1:12" ht="15">
      <c r="A4" s="3" t="s">
        <v>17</v>
      </c>
      <c r="B4" s="3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2"/>
      <c r="H4" s="5" t="s">
        <v>23</v>
      </c>
      <c r="I4" s="5" t="s">
        <v>24</v>
      </c>
      <c r="J4" s="5" t="s">
        <v>25</v>
      </c>
      <c r="K4" s="2"/>
    </row>
    <row r="5" spans="1:12" ht="15">
      <c r="A5" t="s">
        <v>26</v>
      </c>
      <c r="B5">
        <v>1</v>
      </c>
      <c r="C5">
        <v>90</v>
      </c>
      <c r="D5" s="7">
        <v>79</v>
      </c>
      <c r="E5">
        <v>53</v>
      </c>
      <c r="F5" s="7">
        <v>68</v>
      </c>
      <c r="G5" s="2"/>
      <c r="H5">
        <f>AVERAGE(C5:F5)</f>
        <v>72.5</v>
      </c>
      <c r="I5">
        <f>MAX(C5:F5)</f>
        <v>90</v>
      </c>
      <c r="J5">
        <f>MIN(C5:F5)</f>
        <v>53</v>
      </c>
      <c r="K5" s="2"/>
    </row>
    <row r="6" spans="1:12" ht="15">
      <c r="A6" t="s">
        <v>27</v>
      </c>
      <c r="B6">
        <v>1</v>
      </c>
      <c r="C6">
        <v>35</v>
      </c>
      <c r="D6" s="7">
        <v>61</v>
      </c>
      <c r="E6">
        <v>41</v>
      </c>
      <c r="F6" s="7">
        <v>53</v>
      </c>
      <c r="G6" s="2"/>
      <c r="H6">
        <f>AVERAGE(C6:F6)</f>
        <v>47.5</v>
      </c>
      <c r="I6">
        <f t="shared" ref="I6:I15" si="0">MAX(C6:F6)</f>
        <v>61</v>
      </c>
      <c r="J6">
        <f t="shared" ref="J6:J15" si="1">MIN(C6:F6)</f>
        <v>35</v>
      </c>
      <c r="K6" s="2"/>
    </row>
    <row r="7" spans="1:12" ht="15">
      <c r="A7" t="s">
        <v>28</v>
      </c>
      <c r="B7">
        <v>1</v>
      </c>
      <c r="C7">
        <v>41</v>
      </c>
      <c r="D7" s="7">
        <v>72</v>
      </c>
      <c r="E7">
        <v>48</v>
      </c>
      <c r="F7" s="7">
        <v>62</v>
      </c>
      <c r="G7" s="2"/>
      <c r="H7">
        <f t="shared" ref="H7:H15" si="2">AVERAGE(C7:F7)</f>
        <v>55.75</v>
      </c>
      <c r="I7">
        <f t="shared" si="0"/>
        <v>72</v>
      </c>
      <c r="J7">
        <f t="shared" si="1"/>
        <v>41</v>
      </c>
      <c r="K7" s="2"/>
    </row>
    <row r="8" spans="1:12" ht="15">
      <c r="A8" t="s">
        <v>29</v>
      </c>
      <c r="B8">
        <v>1</v>
      </c>
      <c r="C8">
        <v>40</v>
      </c>
      <c r="D8" s="7">
        <v>70</v>
      </c>
      <c r="E8">
        <v>87</v>
      </c>
      <c r="F8" s="7">
        <v>61</v>
      </c>
      <c r="G8" s="2"/>
      <c r="H8">
        <f>AVERAGE(C8:F8)</f>
        <v>64.5</v>
      </c>
      <c r="I8">
        <f t="shared" si="0"/>
        <v>87</v>
      </c>
      <c r="J8">
        <f t="shared" si="1"/>
        <v>40</v>
      </c>
      <c r="K8" s="2"/>
    </row>
    <row r="9" spans="1:12" ht="15">
      <c r="A9" s="1" t="s">
        <v>30</v>
      </c>
      <c r="B9">
        <v>1</v>
      </c>
      <c r="C9" s="1">
        <v>92</v>
      </c>
      <c r="D9" s="8">
        <v>79</v>
      </c>
      <c r="E9">
        <v>60</v>
      </c>
      <c r="F9" s="7">
        <v>68</v>
      </c>
      <c r="G9" s="2"/>
      <c r="H9">
        <f t="shared" si="2"/>
        <v>74.75</v>
      </c>
      <c r="I9">
        <f t="shared" si="0"/>
        <v>92</v>
      </c>
      <c r="J9">
        <f t="shared" si="1"/>
        <v>60</v>
      </c>
      <c r="K9" s="2"/>
    </row>
    <row r="10" spans="1:12" ht="15">
      <c r="A10" s="1" t="s">
        <v>31</v>
      </c>
      <c r="B10" s="1">
        <v>2</v>
      </c>
      <c r="C10" s="1">
        <v>37</v>
      </c>
      <c r="D10" s="8">
        <v>65</v>
      </c>
      <c r="E10">
        <v>43</v>
      </c>
      <c r="F10" s="7">
        <v>56</v>
      </c>
      <c r="G10" s="2"/>
      <c r="H10">
        <f t="shared" si="2"/>
        <v>50.25</v>
      </c>
      <c r="I10">
        <f t="shared" si="0"/>
        <v>65</v>
      </c>
      <c r="J10">
        <f t="shared" si="1"/>
        <v>37</v>
      </c>
      <c r="K10" s="2"/>
    </row>
    <row r="11" spans="1:12" ht="15">
      <c r="A11" s="1" t="s">
        <v>32</v>
      </c>
      <c r="B11" s="1">
        <v>2</v>
      </c>
      <c r="C11" s="1">
        <v>41</v>
      </c>
      <c r="D11" s="8">
        <v>72</v>
      </c>
      <c r="E11">
        <v>48</v>
      </c>
      <c r="F11" s="7">
        <v>62</v>
      </c>
      <c r="G11" s="2"/>
      <c r="H11">
        <f t="shared" si="2"/>
        <v>55.75</v>
      </c>
      <c r="I11">
        <f t="shared" si="0"/>
        <v>72</v>
      </c>
      <c r="J11">
        <f t="shared" si="1"/>
        <v>41</v>
      </c>
      <c r="K11" s="2"/>
    </row>
    <row r="12" spans="1:12" ht="15">
      <c r="A12" s="1" t="s">
        <v>33</v>
      </c>
      <c r="B12" s="1">
        <v>2</v>
      </c>
      <c r="C12" s="1">
        <v>99</v>
      </c>
      <c r="D12" s="8">
        <v>70</v>
      </c>
      <c r="E12">
        <v>47</v>
      </c>
      <c r="F12" s="7">
        <v>61</v>
      </c>
      <c r="G12" s="2"/>
      <c r="H12">
        <f t="shared" si="2"/>
        <v>69.25</v>
      </c>
      <c r="I12">
        <f t="shared" si="0"/>
        <v>99</v>
      </c>
      <c r="J12">
        <f t="shared" si="1"/>
        <v>47</v>
      </c>
      <c r="K12" s="2"/>
    </row>
    <row r="13" spans="1:12" ht="15">
      <c r="A13" s="1" t="s">
        <v>34</v>
      </c>
      <c r="B13" s="1">
        <v>2</v>
      </c>
      <c r="C13" s="1">
        <v>45</v>
      </c>
      <c r="D13" s="8">
        <v>79</v>
      </c>
      <c r="E13">
        <v>100</v>
      </c>
      <c r="F13" s="7">
        <v>68</v>
      </c>
      <c r="G13" s="2"/>
      <c r="H13">
        <f t="shared" si="2"/>
        <v>73</v>
      </c>
      <c r="I13">
        <f t="shared" si="0"/>
        <v>100</v>
      </c>
      <c r="J13">
        <f t="shared" si="1"/>
        <v>45</v>
      </c>
      <c r="K13" s="2"/>
    </row>
    <row r="14" spans="1:12" ht="15">
      <c r="A14" s="1" t="s">
        <v>35</v>
      </c>
      <c r="B14" s="1">
        <v>2</v>
      </c>
      <c r="C14" s="1">
        <v>62</v>
      </c>
      <c r="D14" s="8">
        <v>65</v>
      </c>
      <c r="E14">
        <v>60</v>
      </c>
      <c r="F14" s="7">
        <v>65</v>
      </c>
      <c r="G14" s="2"/>
      <c r="H14">
        <f t="shared" si="2"/>
        <v>63</v>
      </c>
      <c r="I14">
        <f t="shared" si="0"/>
        <v>65</v>
      </c>
      <c r="J14">
        <f t="shared" si="1"/>
        <v>60</v>
      </c>
      <c r="K14" s="2"/>
    </row>
    <row r="15" spans="1:12" ht="15">
      <c r="A15" s="1" t="s">
        <v>36</v>
      </c>
      <c r="B15" s="1">
        <v>2</v>
      </c>
      <c r="C15" s="1">
        <v>41</v>
      </c>
      <c r="D15" s="8">
        <v>72</v>
      </c>
      <c r="E15">
        <v>48</v>
      </c>
      <c r="F15" s="7">
        <v>62</v>
      </c>
      <c r="G15" s="2"/>
      <c r="H15">
        <f t="shared" si="2"/>
        <v>55.75</v>
      </c>
      <c r="I15">
        <f t="shared" si="0"/>
        <v>72</v>
      </c>
      <c r="J15">
        <f t="shared" si="1"/>
        <v>41</v>
      </c>
      <c r="K15" s="2"/>
    </row>
    <row r="16" spans="1:12" ht="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</row>
    <row r="17" spans="8:13">
      <c r="H17" s="36" t="s">
        <v>37</v>
      </c>
      <c r="I17" s="36"/>
      <c r="J17" s="10">
        <f>AVERAGEIF(H5:H15,"&gt;=60")</f>
        <v>69.5</v>
      </c>
      <c r="K17" s="9"/>
      <c r="L17" s="9"/>
      <c r="M17" s="9"/>
    </row>
  </sheetData>
  <mergeCells count="1">
    <mergeCell ref="H17: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28FF-4CFE-47DA-9704-C83037259622}">
  <dimension ref="A1:L19"/>
  <sheetViews>
    <sheetView workbookViewId="0">
      <selection activeCell="J23" sqref="J23"/>
    </sheetView>
  </sheetViews>
  <sheetFormatPr defaultColWidth="11.42578125" defaultRowHeight="12.75"/>
  <cols>
    <col min="2" max="2" width="15" bestFit="1" customWidth="1"/>
    <col min="3" max="6" width="11.7109375" customWidth="1"/>
    <col min="7" max="7" width="1.85546875" customWidth="1"/>
    <col min="8" max="10" width="17.140625" customWidth="1"/>
    <col min="11" max="11" width="1.140625" customWidth="1"/>
    <col min="12" max="12" width="11.42578125" customWidth="1"/>
  </cols>
  <sheetData>
    <row r="1" spans="1:12">
      <c r="A1" s="6" t="s">
        <v>15</v>
      </c>
      <c r="B1" s="6"/>
    </row>
    <row r="2" spans="1:12">
      <c r="A2" t="s">
        <v>16</v>
      </c>
    </row>
    <row r="4" spans="1:12" ht="15">
      <c r="A4" s="3" t="s">
        <v>17</v>
      </c>
      <c r="B4" s="3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2"/>
      <c r="H4" s="5" t="s">
        <v>23</v>
      </c>
      <c r="I4" s="5" t="s">
        <v>24</v>
      </c>
      <c r="J4" s="5" t="s">
        <v>25</v>
      </c>
      <c r="K4" s="2"/>
    </row>
    <row r="5" spans="1:12" ht="15">
      <c r="A5" t="s">
        <v>26</v>
      </c>
      <c r="B5">
        <v>1</v>
      </c>
      <c r="C5">
        <v>90</v>
      </c>
      <c r="D5" s="7">
        <v>79</v>
      </c>
      <c r="E5">
        <v>53</v>
      </c>
      <c r="F5" s="7">
        <v>68</v>
      </c>
      <c r="G5" s="2"/>
      <c r="I5">
        <f>MAX(C5:F5)</f>
        <v>90</v>
      </c>
      <c r="J5">
        <f>MIN(C5:F5)</f>
        <v>53</v>
      </c>
      <c r="K5" s="2"/>
    </row>
    <row r="6" spans="1:12" ht="15">
      <c r="A6" t="s">
        <v>27</v>
      </c>
      <c r="B6">
        <v>1</v>
      </c>
      <c r="C6">
        <v>35</v>
      </c>
      <c r="D6" s="7">
        <v>61</v>
      </c>
      <c r="E6">
        <v>41</v>
      </c>
      <c r="F6" s="7">
        <v>53</v>
      </c>
      <c r="G6" s="2"/>
      <c r="I6">
        <f t="shared" ref="I6:I15" si="0">MAX(C6:F6)</f>
        <v>61</v>
      </c>
      <c r="J6">
        <f t="shared" ref="J6:J15" si="1">MIN(C6:F6)</f>
        <v>35</v>
      </c>
      <c r="K6" s="2"/>
    </row>
    <row r="7" spans="1:12" ht="15">
      <c r="A7" t="s">
        <v>28</v>
      </c>
      <c r="B7">
        <v>1</v>
      </c>
      <c r="C7">
        <v>41</v>
      </c>
      <c r="D7" s="7">
        <v>72</v>
      </c>
      <c r="E7">
        <v>48</v>
      </c>
      <c r="F7" s="7">
        <v>62</v>
      </c>
      <c r="G7" s="2"/>
      <c r="I7">
        <f t="shared" si="0"/>
        <v>72</v>
      </c>
      <c r="J7">
        <f t="shared" si="1"/>
        <v>41</v>
      </c>
      <c r="K7" s="2"/>
    </row>
    <row r="8" spans="1:12" ht="15">
      <c r="A8" t="s">
        <v>29</v>
      </c>
      <c r="B8">
        <v>1</v>
      </c>
      <c r="C8">
        <v>40</v>
      </c>
      <c r="D8" s="7">
        <v>70</v>
      </c>
      <c r="E8">
        <v>87</v>
      </c>
      <c r="F8" s="7">
        <v>61</v>
      </c>
      <c r="G8" s="2"/>
      <c r="I8">
        <f t="shared" si="0"/>
        <v>87</v>
      </c>
      <c r="J8">
        <f t="shared" si="1"/>
        <v>40</v>
      </c>
      <c r="K8" s="2"/>
    </row>
    <row r="9" spans="1:12" ht="15">
      <c r="A9" s="1" t="s">
        <v>30</v>
      </c>
      <c r="B9">
        <v>1</v>
      </c>
      <c r="C9" s="1">
        <v>92</v>
      </c>
      <c r="D9" s="8">
        <v>79</v>
      </c>
      <c r="E9">
        <v>60</v>
      </c>
      <c r="F9" s="7">
        <v>68</v>
      </c>
      <c r="G9" s="2"/>
      <c r="I9">
        <f t="shared" si="0"/>
        <v>92</v>
      </c>
      <c r="J9">
        <f t="shared" si="1"/>
        <v>60</v>
      </c>
      <c r="K9" s="2"/>
    </row>
    <row r="10" spans="1:12" ht="15">
      <c r="A10" s="1" t="s">
        <v>31</v>
      </c>
      <c r="B10" s="1">
        <v>2</v>
      </c>
      <c r="C10" s="1">
        <v>37</v>
      </c>
      <c r="D10" s="8">
        <v>65</v>
      </c>
      <c r="E10">
        <v>43</v>
      </c>
      <c r="F10" s="7">
        <v>56</v>
      </c>
      <c r="G10" s="2"/>
      <c r="I10">
        <f t="shared" si="0"/>
        <v>65</v>
      </c>
      <c r="J10">
        <f t="shared" si="1"/>
        <v>37</v>
      </c>
      <c r="K10" s="2"/>
    </row>
    <row r="11" spans="1:12" ht="15">
      <c r="A11" s="1" t="s">
        <v>32</v>
      </c>
      <c r="B11" s="1">
        <v>2</v>
      </c>
      <c r="C11" s="1">
        <v>41</v>
      </c>
      <c r="D11" s="8">
        <v>72</v>
      </c>
      <c r="E11">
        <v>48</v>
      </c>
      <c r="F11" s="7">
        <v>62</v>
      </c>
      <c r="G11" s="2"/>
      <c r="I11">
        <f t="shared" si="0"/>
        <v>72</v>
      </c>
      <c r="J11">
        <f t="shared" si="1"/>
        <v>41</v>
      </c>
      <c r="K11" s="2"/>
    </row>
    <row r="12" spans="1:12" ht="15">
      <c r="A12" s="1" t="s">
        <v>33</v>
      </c>
      <c r="B12" s="1">
        <v>2</v>
      </c>
      <c r="C12" s="1">
        <v>99</v>
      </c>
      <c r="D12" s="8">
        <v>70</v>
      </c>
      <c r="E12">
        <v>47</v>
      </c>
      <c r="F12" s="7">
        <v>61</v>
      </c>
      <c r="G12" s="2"/>
      <c r="I12">
        <f t="shared" si="0"/>
        <v>99</v>
      </c>
      <c r="J12">
        <f t="shared" si="1"/>
        <v>47</v>
      </c>
      <c r="K12" s="2"/>
    </row>
    <row r="13" spans="1:12" ht="15">
      <c r="A13" s="1" t="s">
        <v>34</v>
      </c>
      <c r="B13" s="1">
        <v>2</v>
      </c>
      <c r="C13" s="1">
        <v>45</v>
      </c>
      <c r="D13" s="8">
        <v>79</v>
      </c>
      <c r="E13">
        <v>100</v>
      </c>
      <c r="F13" s="7">
        <v>68</v>
      </c>
      <c r="G13" s="2"/>
      <c r="I13">
        <f t="shared" si="0"/>
        <v>100</v>
      </c>
      <c r="J13">
        <f t="shared" si="1"/>
        <v>45</v>
      </c>
      <c r="K13" s="2"/>
    </row>
    <row r="14" spans="1:12" ht="15">
      <c r="A14" s="1" t="s">
        <v>35</v>
      </c>
      <c r="B14" s="1">
        <v>2</v>
      </c>
      <c r="C14" s="1">
        <v>62</v>
      </c>
      <c r="D14" s="8">
        <v>65</v>
      </c>
      <c r="E14">
        <v>60</v>
      </c>
      <c r="F14" s="7">
        <v>65</v>
      </c>
      <c r="G14" s="2"/>
      <c r="I14">
        <f t="shared" si="0"/>
        <v>65</v>
      </c>
      <c r="J14">
        <f t="shared" si="1"/>
        <v>60</v>
      </c>
      <c r="K14" s="2"/>
    </row>
    <row r="15" spans="1:12" ht="15">
      <c r="A15" s="1" t="s">
        <v>36</v>
      </c>
      <c r="B15" s="1">
        <v>2</v>
      </c>
      <c r="C15" s="1">
        <v>41</v>
      </c>
      <c r="D15" s="8">
        <v>72</v>
      </c>
      <c r="E15">
        <v>48</v>
      </c>
      <c r="F15" s="7">
        <v>62</v>
      </c>
      <c r="G15" s="2"/>
      <c r="I15">
        <f t="shared" si="0"/>
        <v>72</v>
      </c>
      <c r="J15">
        <f t="shared" si="1"/>
        <v>41</v>
      </c>
      <c r="K15" s="2"/>
    </row>
    <row r="16" spans="1:12" ht="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</row>
    <row r="17" spans="8:12">
      <c r="H17" s="36" t="s">
        <v>37</v>
      </c>
      <c r="I17" s="36"/>
      <c r="J17" s="10" t="e">
        <f>AVERAGEIF(H5:H15,"&gt;=60")</f>
        <v>#DIV/0!</v>
      </c>
      <c r="K17" s="9"/>
      <c r="L17" s="17" t="s">
        <v>40</v>
      </c>
    </row>
    <row r="19" spans="8:12">
      <c r="I19" s="6" t="s">
        <v>41</v>
      </c>
      <c r="J19" s="10">
        <f>IFERROR(AVERAGEIF(H7:H17,"&gt;=60"),0)</f>
        <v>0</v>
      </c>
    </row>
  </sheetData>
  <mergeCells count="1"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Olivier Tremblay</cp:lastModifiedBy>
  <cp:revision/>
  <dcterms:created xsi:type="dcterms:W3CDTF">1996-10-21T11:03:58Z</dcterms:created>
  <dcterms:modified xsi:type="dcterms:W3CDTF">2026-02-17T18:40:25Z</dcterms:modified>
  <cp:category/>
  <cp:contentStatus/>
</cp:coreProperties>
</file>