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184" documentId="11_3359E972E4079F0FB90EA74763D4AF9136EB03E0" xr6:coauthVersionLast="47" xr6:coauthVersionMax="47" xr10:uidLastSave="{A420B3E5-33F5-4880-9ECC-C4F1ECA12332}"/>
  <bookViews>
    <workbookView xWindow="-108" yWindow="-108" windowWidth="23256" windowHeight="12456" xr2:uid="{00000000-000D-0000-FFFF-FFFF00000000}"/>
  </bookViews>
  <sheets>
    <sheet name="Instructions" sheetId="3" r:id="rId1"/>
    <sheet name="Exercice" sheetId="1" r:id="rId2"/>
    <sheet name="Solu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9" i="2" s="1"/>
  <c r="F19" i="2" s="1"/>
  <c r="D18" i="2"/>
  <c r="E18" i="2" s="1"/>
  <c r="F18" i="2" s="1"/>
  <c r="D17" i="2"/>
  <c r="E17" i="2" s="1"/>
  <c r="F17" i="2" s="1"/>
  <c r="D16" i="2"/>
  <c r="E16" i="2" s="1"/>
  <c r="F16" i="2" s="1"/>
  <c r="D15" i="2"/>
  <c r="E15" i="2" s="1"/>
  <c r="F15" i="2" s="1"/>
  <c r="D14" i="2"/>
  <c r="E14" i="2" s="1"/>
  <c r="F14" i="2" s="1"/>
  <c r="D13" i="2"/>
  <c r="E13" i="2" s="1"/>
  <c r="F13" i="2" s="1"/>
  <c r="D12" i="2"/>
  <c r="E12" i="2" s="1"/>
  <c r="F12" i="2" s="1"/>
  <c r="D11" i="2"/>
  <c r="E11" i="2" s="1"/>
  <c r="F11" i="2" s="1"/>
  <c r="D10" i="2"/>
  <c r="E10" i="2" s="1"/>
  <c r="F10" i="2" s="1"/>
  <c r="D9" i="2"/>
  <c r="E9" i="2" s="1"/>
  <c r="F9" i="2" s="1"/>
  <c r="D8" i="2"/>
  <c r="E8" i="2" s="1"/>
  <c r="F8" i="2" s="1"/>
  <c r="D7" i="2"/>
  <c r="E7" i="2" s="1"/>
  <c r="F7" i="2" s="1"/>
  <c r="D6" i="2"/>
  <c r="E6" i="2" s="1"/>
  <c r="F6" i="2" s="1"/>
  <c r="D5" i="2"/>
  <c r="E5" i="2" s="1"/>
  <c r="F5" i="2" s="1"/>
  <c r="D19" i="1"/>
  <c r="E19" i="1" s="1"/>
  <c r="F19" i="1" s="1"/>
  <c r="D18" i="1"/>
  <c r="E18" i="1" s="1"/>
  <c r="F18" i="1" s="1"/>
  <c r="D17" i="1"/>
  <c r="E17" i="1" s="1"/>
  <c r="F17" i="1" s="1"/>
  <c r="D16" i="1"/>
  <c r="E16" i="1" s="1"/>
  <c r="F16" i="1" s="1"/>
  <c r="D15" i="1"/>
  <c r="E15" i="1" s="1"/>
  <c r="F15" i="1" s="1"/>
  <c r="D14" i="1"/>
  <c r="E14" i="1" s="1"/>
  <c r="F14" i="1" s="1"/>
  <c r="D13" i="1"/>
  <c r="E13" i="1" s="1"/>
  <c r="F13" i="1" s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D8" i="1"/>
  <c r="E8" i="1" s="1"/>
  <c r="F8" i="1" s="1"/>
  <c r="D7" i="1"/>
  <c r="E7" i="1" s="1"/>
  <c r="F7" i="1" s="1"/>
  <c r="D6" i="1"/>
  <c r="E6" i="1" s="1"/>
  <c r="F6" i="1" s="1"/>
  <c r="D5" i="1"/>
  <c r="E5" i="1" s="1"/>
  <c r="F5" i="1" s="1"/>
</calcChain>
</file>

<file path=xl/sharedStrings.xml><?xml version="1.0" encoding="utf-8"?>
<sst xmlns="http://schemas.openxmlformats.org/spreadsheetml/2006/main" count="81" uniqueCount="41">
  <si>
    <t>Faites une mise en forme conditionnelle qui fait les choses suivantes:</t>
  </si>
  <si>
    <r>
      <t xml:space="preserve">1. Si le prix total est de plus de 20000$, la </t>
    </r>
    <r>
      <rPr>
        <b/>
        <sz val="11"/>
        <color theme="1"/>
        <rFont val="Calibri"/>
        <family val="2"/>
      </rPr>
      <t>ligne</t>
    </r>
    <r>
      <rPr>
        <sz val="11"/>
        <color theme="1"/>
        <rFont val="Calibri"/>
        <family val="2"/>
      </rPr>
      <t xml:space="preserve"> doit apparaître en rouge. </t>
    </r>
  </si>
  <si>
    <r>
      <t xml:space="preserve">2. Si le prix total est de moins de 20000$, la </t>
    </r>
    <r>
      <rPr>
        <b/>
        <sz val="11"/>
        <color theme="1"/>
        <rFont val="Calibri"/>
        <family val="2"/>
      </rPr>
      <t>ligne</t>
    </r>
    <r>
      <rPr>
        <sz val="11"/>
        <color theme="1"/>
        <rFont val="Calibri"/>
        <family val="2"/>
      </rPr>
      <t xml:space="preserve"> doit apparaître en vert. </t>
    </r>
  </si>
  <si>
    <t xml:space="preserve">3. Ajoutez une liste déroulante à droite qui permet de choisir parmi les modèles. </t>
  </si>
  <si>
    <t xml:space="preserve">4. Le modèle sélectionné avec la liste déroulante doit apparaître en jaune, peu importe le prix. </t>
  </si>
  <si>
    <t>Achat nouvelle voiture</t>
  </si>
  <si>
    <t>Années</t>
  </si>
  <si>
    <t>Taux d'intérêt</t>
  </si>
  <si>
    <t>MARQUE</t>
  </si>
  <si>
    <t>MODÈLE</t>
  </si>
  <si>
    <t>PRIX</t>
  </si>
  <si>
    <t>TAXES</t>
  </si>
  <si>
    <t xml:space="preserve">TOTAL </t>
  </si>
  <si>
    <t>PAIEMENT</t>
  </si>
  <si>
    <t>Modèle:</t>
  </si>
  <si>
    <t>Chevrolet</t>
  </si>
  <si>
    <t>Optra Wagon LS</t>
  </si>
  <si>
    <t>Honda</t>
  </si>
  <si>
    <t>Fit DX</t>
  </si>
  <si>
    <t>Element LX-5MT</t>
  </si>
  <si>
    <t>Hyundai</t>
  </si>
  <si>
    <t>Accent GL</t>
  </si>
  <si>
    <t>Kia</t>
  </si>
  <si>
    <t>Spectra 5 LX</t>
  </si>
  <si>
    <t>Mazda</t>
  </si>
  <si>
    <t>Mazda 3 GX</t>
  </si>
  <si>
    <t>Mazda 5 GS</t>
  </si>
  <si>
    <t>Nissan</t>
  </si>
  <si>
    <t>Versa 1.8 S Hatch</t>
  </si>
  <si>
    <t>Saturn</t>
  </si>
  <si>
    <t>Astra XE 5</t>
  </si>
  <si>
    <t>Astra XR 5</t>
  </si>
  <si>
    <r>
      <t xml:space="preserve">1. Si le prix total est de plus de 20000$ (inclusivement), la </t>
    </r>
    <r>
      <rPr>
        <b/>
        <sz val="11"/>
        <color theme="1"/>
        <rFont val="Calibri"/>
        <family val="2"/>
      </rPr>
      <t>ligne</t>
    </r>
    <r>
      <rPr>
        <sz val="11"/>
        <color theme="1"/>
        <rFont val="Calibri"/>
        <family val="2"/>
      </rPr>
      <t xml:space="preserve"> doit apparaître en rouge. </t>
    </r>
  </si>
  <si>
    <t>Subaru</t>
  </si>
  <si>
    <t>Impreza 2.5i</t>
  </si>
  <si>
    <t xml:space="preserve">Impreza Sport </t>
  </si>
  <si>
    <t>Toyota</t>
  </si>
  <si>
    <t>Yaris LE 5-DR</t>
  </si>
  <si>
    <t>Yaris RS 5-DR</t>
  </si>
  <si>
    <t>Volkswagen</t>
  </si>
  <si>
    <t>Rabbit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</si>
</sst>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$&quot;_);[Red]\(#,##0.00\ &quot;$&quot;\)"/>
    <numFmt numFmtId="165" formatCode="_ * #,##0.00_)\ _$_ ;_ * \(#,##0.00\)\ _$_ ;_ * &quot;-&quot;??_)\ _$_ ;_ @_ "/>
    <numFmt numFmtId="166" formatCode="_-* #,##0_-;\-* #,##0_-;_-* &quot;-&quot;_-;_-@_-"/>
  </numFmts>
  <fonts count="9">
    <font>
      <sz val="11"/>
      <color theme="1"/>
      <name val="Calibri"/>
      <family val="2"/>
    </font>
    <font>
      <sz val="11"/>
      <color theme="1"/>
      <name val="Calibri"/>
      <family val="2"/>
    </font>
    <font>
      <i/>
      <sz val="14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165" fontId="0" fillId="0" borderId="5" xfId="1" applyFont="1" applyBorder="1"/>
    <xf numFmtId="10" fontId="0" fillId="0" borderId="0" xfId="0" applyNumberForma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6" xfId="0" applyFont="1" applyBorder="1"/>
    <xf numFmtId="0" fontId="7" fillId="0" borderId="7" xfId="0" applyFont="1" applyBorder="1"/>
    <xf numFmtId="166" fontId="1" fillId="0" borderId="7" xfId="0" applyNumberFormat="1" applyFont="1" applyBorder="1"/>
    <xf numFmtId="165" fontId="0" fillId="0" borderId="7" xfId="1" applyFont="1" applyBorder="1"/>
    <xf numFmtId="165" fontId="0" fillId="0" borderId="8" xfId="1" applyFont="1" applyBorder="1"/>
    <xf numFmtId="0" fontId="7" fillId="0" borderId="3" xfId="0" applyFont="1" applyBorder="1"/>
    <xf numFmtId="0" fontId="7" fillId="0" borderId="8" xfId="0" applyFont="1" applyBorder="1"/>
    <xf numFmtId="166" fontId="7" fillId="0" borderId="8" xfId="0" applyNumberFormat="1" applyFont="1" applyBorder="1"/>
    <xf numFmtId="166" fontId="1" fillId="0" borderId="8" xfId="0" applyNumberFormat="1" applyFont="1" applyBorder="1"/>
    <xf numFmtId="166" fontId="0" fillId="0" borderId="8" xfId="0" applyNumberFormat="1" applyBorder="1"/>
    <xf numFmtId="0" fontId="7" fillId="0" borderId="4" xfId="0" applyFont="1" applyBorder="1"/>
    <xf numFmtId="0" fontId="7" fillId="0" borderId="5" xfId="0" applyFont="1" applyBorder="1"/>
    <xf numFmtId="166" fontId="1" fillId="0" borderId="5" xfId="0" applyNumberFormat="1" applyFont="1" applyBorder="1"/>
    <xf numFmtId="164" fontId="0" fillId="0" borderId="8" xfId="1" applyNumberFormat="1" applyFont="1" applyBorder="1"/>
    <xf numFmtId="164" fontId="0" fillId="0" borderId="5" xfId="1" applyNumberFormat="1" applyFont="1" applyBorder="1"/>
    <xf numFmtId="0" fontId="0" fillId="0" borderId="9" xfId="0" applyBorder="1"/>
    <xf numFmtId="0" fontId="0" fillId="0" borderId="10" xfId="0" applyBorder="1"/>
  </cellXfs>
  <cellStyles count="2">
    <cellStyle name="Milliers" xfId="1" builtinId="3"/>
    <cellStyle name="Normal" xfId="0" builtinId="0"/>
  </cellStyles>
  <dxfs count="3"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12</xdr:col>
      <xdr:colOff>382117</xdr:colOff>
      <xdr:row>28</xdr:row>
      <xdr:rowOff>19611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6A183EF-FA20-2C30-6996-D33FF5499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333500"/>
          <a:ext cx="8002117" cy="4020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B6E4-86CF-4FFA-9ACA-EB99741C9928}">
  <dimension ref="B2:C6"/>
  <sheetViews>
    <sheetView tabSelected="1" workbookViewId="0">
      <selection activeCell="B12" sqref="B12"/>
    </sheetView>
  </sheetViews>
  <sheetFormatPr defaultColWidth="11.42578125" defaultRowHeight="15"/>
  <sheetData>
    <row r="2" spans="2:3">
      <c r="B2" t="s">
        <v>0</v>
      </c>
    </row>
    <row r="3" spans="2:3">
      <c r="C3" t="s">
        <v>1</v>
      </c>
    </row>
    <row r="4" spans="2:3">
      <c r="C4" t="s">
        <v>2</v>
      </c>
    </row>
    <row r="5" spans="2:3">
      <c r="C5" t="s">
        <v>3</v>
      </c>
    </row>
    <row r="6" spans="2:3">
      <c r="C6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zoomScaleNormal="100" workbookViewId="0">
      <selection activeCell="I17" sqref="I17"/>
    </sheetView>
  </sheetViews>
  <sheetFormatPr defaultColWidth="11.42578125" defaultRowHeight="15"/>
  <cols>
    <col min="1" max="1" width="12" bestFit="1" customWidth="1"/>
    <col min="2" max="2" width="15.85546875" bestFit="1" customWidth="1"/>
    <col min="3" max="3" width="13" bestFit="1" customWidth="1"/>
    <col min="4" max="4" width="12" bestFit="1" customWidth="1"/>
    <col min="5" max="5" width="13.85546875" customWidth="1"/>
    <col min="6" max="6" width="14.140625" customWidth="1"/>
    <col min="9" max="9" width="17.42578125" customWidth="1"/>
  </cols>
  <sheetData>
    <row r="1" spans="1:9" ht="15.75">
      <c r="A1" s="10" t="s">
        <v>5</v>
      </c>
      <c r="E1" s="9" t="s">
        <v>6</v>
      </c>
      <c r="F1">
        <v>5</v>
      </c>
    </row>
    <row r="2" spans="1:9">
      <c r="E2" s="9" t="s">
        <v>7</v>
      </c>
      <c r="F2" s="8">
        <v>0.1125</v>
      </c>
    </row>
    <row r="3" spans="1:9" ht="19.5" thickBot="1">
      <c r="B3" s="1"/>
      <c r="C3" s="1"/>
      <c r="D3" s="2"/>
    </row>
    <row r="4" spans="1:9" ht="15.75" thickBot="1">
      <c r="A4" s="3" t="s">
        <v>8</v>
      </c>
      <c r="B4" s="4" t="s">
        <v>9</v>
      </c>
      <c r="C4" s="4" t="s">
        <v>10</v>
      </c>
      <c r="D4" s="4" t="s">
        <v>11</v>
      </c>
      <c r="E4" s="5" t="s">
        <v>12</v>
      </c>
      <c r="F4" s="5" t="s">
        <v>13</v>
      </c>
      <c r="H4" s="26" t="s">
        <v>14</v>
      </c>
      <c r="I4" s="27"/>
    </row>
    <row r="5" spans="1:9">
      <c r="A5" s="11" t="s">
        <v>15</v>
      </c>
      <c r="B5" s="12" t="s">
        <v>16</v>
      </c>
      <c r="C5" s="13">
        <v>15395</v>
      </c>
      <c r="D5" s="14">
        <f>C5*(1.075*1.05-1)</f>
        <v>1982.1062499999987</v>
      </c>
      <c r="E5" s="14">
        <f>C5+D5</f>
        <v>17377.106249999997</v>
      </c>
      <c r="F5" s="24">
        <f>PMT($F$2/12,$F$1*12,-E5)</f>
        <v>379.99053223411983</v>
      </c>
    </row>
    <row r="6" spans="1:9">
      <c r="A6" s="16" t="s">
        <v>17</v>
      </c>
      <c r="B6" s="17" t="s">
        <v>18</v>
      </c>
      <c r="C6" s="18">
        <v>14980</v>
      </c>
      <c r="D6" s="15">
        <f t="shared" ref="D6:D19" si="0">C6*(1.075*1.05-1)</f>
        <v>1928.6749999999988</v>
      </c>
      <c r="E6" s="15">
        <f t="shared" ref="E6:E19" si="1">C6+D6</f>
        <v>16908.674999999999</v>
      </c>
      <c r="F6" s="24">
        <f t="shared" ref="F6:F19" si="2">PMT($F$2/12,$F$1*12,-E6)</f>
        <v>369.74720187509678</v>
      </c>
    </row>
    <row r="7" spans="1:9">
      <c r="A7" s="6"/>
      <c r="B7" s="17" t="s">
        <v>19</v>
      </c>
      <c r="C7" s="18">
        <v>25290</v>
      </c>
      <c r="D7" s="15">
        <f t="shared" si="0"/>
        <v>3256.0874999999978</v>
      </c>
      <c r="E7" s="15">
        <f t="shared" si="1"/>
        <v>28546.087499999998</v>
      </c>
      <c r="F7" s="24">
        <f t="shared" si="2"/>
        <v>624.22608380648853</v>
      </c>
    </row>
    <row r="8" spans="1:9">
      <c r="A8" s="16" t="s">
        <v>20</v>
      </c>
      <c r="B8" s="17" t="s">
        <v>21</v>
      </c>
      <c r="C8" s="19">
        <v>15295</v>
      </c>
      <c r="D8" s="15">
        <f t="shared" si="0"/>
        <v>1969.2312499999987</v>
      </c>
      <c r="E8" s="15">
        <f t="shared" si="1"/>
        <v>17264.231249999997</v>
      </c>
      <c r="F8" s="24">
        <f t="shared" si="2"/>
        <v>377.5222598584516</v>
      </c>
    </row>
    <row r="9" spans="1:9">
      <c r="A9" s="16" t="s">
        <v>22</v>
      </c>
      <c r="B9" s="17" t="s">
        <v>23</v>
      </c>
      <c r="C9" s="19">
        <v>16495</v>
      </c>
      <c r="D9" s="15">
        <f t="shared" si="0"/>
        <v>2123.7312499999989</v>
      </c>
      <c r="E9" s="15">
        <f t="shared" si="1"/>
        <v>18618.731249999997</v>
      </c>
      <c r="F9" s="24">
        <f t="shared" si="2"/>
        <v>407.14152836646997</v>
      </c>
    </row>
    <row r="10" spans="1:9">
      <c r="A10" s="16" t="s">
        <v>24</v>
      </c>
      <c r="B10" s="17" t="s">
        <v>25</v>
      </c>
      <c r="C10" s="20">
        <v>16895</v>
      </c>
      <c r="D10" s="15">
        <f t="shared" si="0"/>
        <v>2175.2312499999985</v>
      </c>
      <c r="E10" s="15">
        <f t="shared" si="1"/>
        <v>19070.231249999997</v>
      </c>
      <c r="F10" s="24">
        <f t="shared" si="2"/>
        <v>417.01461786914285</v>
      </c>
    </row>
    <row r="11" spans="1:9">
      <c r="A11" s="6"/>
      <c r="B11" s="17" t="s">
        <v>26</v>
      </c>
      <c r="C11" s="20">
        <v>20795</v>
      </c>
      <c r="D11" s="15">
        <f t="shared" si="0"/>
        <v>2677.3562499999985</v>
      </c>
      <c r="E11" s="15">
        <f t="shared" si="1"/>
        <v>23472.356249999997</v>
      </c>
      <c r="F11" s="24">
        <f t="shared" si="2"/>
        <v>513.27724052020278</v>
      </c>
    </row>
    <row r="12" spans="1:9">
      <c r="A12" s="16" t="s">
        <v>27</v>
      </c>
      <c r="B12" s="17" t="s">
        <v>28</v>
      </c>
      <c r="C12" s="20">
        <v>14598</v>
      </c>
      <c r="D12" s="15">
        <f t="shared" si="0"/>
        <v>1879.4924999999989</v>
      </c>
      <c r="E12" s="15">
        <f t="shared" si="1"/>
        <v>16477.4925</v>
      </c>
      <c r="F12" s="24">
        <f t="shared" si="2"/>
        <v>360.31840140004425</v>
      </c>
    </row>
    <row r="13" spans="1:9">
      <c r="A13" s="16" t="s">
        <v>29</v>
      </c>
      <c r="B13" s="17" t="s">
        <v>30</v>
      </c>
      <c r="C13" s="19">
        <v>17900</v>
      </c>
      <c r="D13" s="15">
        <f t="shared" si="0"/>
        <v>2304.6249999999986</v>
      </c>
      <c r="E13" s="15">
        <f t="shared" si="1"/>
        <v>20204.625</v>
      </c>
      <c r="F13" s="24">
        <f t="shared" si="2"/>
        <v>441.82075524460834</v>
      </c>
      <c r="H13" t="s">
        <v>0</v>
      </c>
    </row>
    <row r="14" spans="1:9">
      <c r="A14" s="6"/>
      <c r="B14" s="17" t="s">
        <v>31</v>
      </c>
      <c r="C14" s="19">
        <v>20380</v>
      </c>
      <c r="D14" s="15">
        <f t="shared" si="0"/>
        <v>2623.9249999999984</v>
      </c>
      <c r="E14" s="15">
        <f t="shared" si="1"/>
        <v>23003.924999999999</v>
      </c>
      <c r="F14" s="24">
        <f t="shared" si="2"/>
        <v>503.03391016117973</v>
      </c>
      <c r="I14" t="s">
        <v>32</v>
      </c>
    </row>
    <row r="15" spans="1:9">
      <c r="A15" s="16" t="s">
        <v>33</v>
      </c>
      <c r="B15" s="17" t="s">
        <v>34</v>
      </c>
      <c r="C15" s="19">
        <v>21595</v>
      </c>
      <c r="D15" s="15">
        <f t="shared" si="0"/>
        <v>2780.3562499999985</v>
      </c>
      <c r="E15" s="15">
        <f t="shared" si="1"/>
        <v>24375.356249999997</v>
      </c>
      <c r="F15" s="24">
        <f t="shared" si="2"/>
        <v>533.02341952554832</v>
      </c>
      <c r="I15" t="s">
        <v>2</v>
      </c>
    </row>
    <row r="16" spans="1:9">
      <c r="A16" s="6"/>
      <c r="B16" s="17" t="s">
        <v>35</v>
      </c>
      <c r="C16" s="19">
        <v>24895</v>
      </c>
      <c r="D16" s="15">
        <f t="shared" si="0"/>
        <v>3205.231249999998</v>
      </c>
      <c r="E16" s="15">
        <f t="shared" si="1"/>
        <v>28100.231249999997</v>
      </c>
      <c r="F16" s="24">
        <f t="shared" si="2"/>
        <v>614.47640792259904</v>
      </c>
      <c r="I16" t="s">
        <v>3</v>
      </c>
    </row>
    <row r="17" spans="1:9">
      <c r="A17" s="16" t="s">
        <v>36</v>
      </c>
      <c r="B17" s="17" t="s">
        <v>37</v>
      </c>
      <c r="C17" s="19">
        <v>14245</v>
      </c>
      <c r="D17" s="15">
        <f t="shared" si="0"/>
        <v>1834.0437499999989</v>
      </c>
      <c r="E17" s="15">
        <f t="shared" si="1"/>
        <v>16079.043749999999</v>
      </c>
      <c r="F17" s="24">
        <f t="shared" si="2"/>
        <v>351.60539991393551</v>
      </c>
      <c r="I17" t="s">
        <v>4</v>
      </c>
    </row>
    <row r="18" spans="1:9">
      <c r="A18" s="6"/>
      <c r="B18" s="17" t="s">
        <v>38</v>
      </c>
      <c r="C18" s="19">
        <v>18335</v>
      </c>
      <c r="D18" s="15">
        <f t="shared" si="0"/>
        <v>2360.6312499999985</v>
      </c>
      <c r="E18" s="15">
        <f t="shared" si="1"/>
        <v>20695.631249999999</v>
      </c>
      <c r="F18" s="24">
        <f t="shared" si="2"/>
        <v>452.55774007876494</v>
      </c>
    </row>
    <row r="19" spans="1:9" ht="15.75" thickBot="1">
      <c r="A19" s="21" t="s">
        <v>39</v>
      </c>
      <c r="B19" s="22" t="s">
        <v>40</v>
      </c>
      <c r="C19" s="23">
        <v>19975</v>
      </c>
      <c r="D19" s="7">
        <f t="shared" si="0"/>
        <v>2571.7812499999982</v>
      </c>
      <c r="E19" s="7">
        <f t="shared" si="1"/>
        <v>22546.78125</v>
      </c>
      <c r="F19" s="25">
        <f t="shared" si="2"/>
        <v>493.03740703972352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9988-E42C-47F9-94FB-8C7555F8B9C9}">
  <dimension ref="A1:I19"/>
  <sheetViews>
    <sheetView zoomScaleNormal="100" workbookViewId="0">
      <selection activeCell="A5" sqref="A5:F19"/>
    </sheetView>
  </sheetViews>
  <sheetFormatPr defaultColWidth="11.42578125" defaultRowHeight="15"/>
  <cols>
    <col min="1" max="1" width="12" bestFit="1" customWidth="1"/>
    <col min="2" max="2" width="15.85546875" bestFit="1" customWidth="1"/>
    <col min="3" max="3" width="13" bestFit="1" customWidth="1"/>
    <col min="4" max="4" width="12" bestFit="1" customWidth="1"/>
    <col min="5" max="5" width="13.85546875" customWidth="1"/>
    <col min="6" max="6" width="14.140625" customWidth="1"/>
    <col min="9" max="9" width="15.85546875" bestFit="1" customWidth="1"/>
  </cols>
  <sheetData>
    <row r="1" spans="1:9" ht="15.75">
      <c r="A1" s="10" t="s">
        <v>5</v>
      </c>
      <c r="E1" s="9" t="s">
        <v>6</v>
      </c>
      <c r="F1">
        <v>5</v>
      </c>
    </row>
    <row r="2" spans="1:9">
      <c r="E2" s="9" t="s">
        <v>7</v>
      </c>
      <c r="F2" s="8">
        <v>0.1125</v>
      </c>
    </row>
    <row r="3" spans="1:9" ht="19.5" thickBot="1">
      <c r="B3" s="1"/>
      <c r="C3" s="1"/>
      <c r="D3" s="2"/>
    </row>
    <row r="4" spans="1:9" ht="15.75" thickBot="1">
      <c r="A4" s="3" t="s">
        <v>8</v>
      </c>
      <c r="B4" s="4" t="s">
        <v>9</v>
      </c>
      <c r="C4" s="4" t="s">
        <v>10</v>
      </c>
      <c r="D4" s="4" t="s">
        <v>11</v>
      </c>
      <c r="E4" s="5" t="s">
        <v>12</v>
      </c>
      <c r="F4" s="5" t="s">
        <v>13</v>
      </c>
    </row>
    <row r="5" spans="1:9" ht="15.75" thickBot="1">
      <c r="A5" s="11" t="s">
        <v>15</v>
      </c>
      <c r="B5" s="12" t="s">
        <v>16</v>
      </c>
      <c r="C5" s="13">
        <v>15395</v>
      </c>
      <c r="D5" s="14">
        <f>C5*(1.075*1.05-1)</f>
        <v>1982.1062499999987</v>
      </c>
      <c r="E5" s="14">
        <f>C5+D5</f>
        <v>17377.106249999997</v>
      </c>
      <c r="F5" s="24">
        <f>PMT($F$2/12,$F$1*12,-E5)</f>
        <v>379.99053223411983</v>
      </c>
      <c r="H5" s="26" t="s">
        <v>14</v>
      </c>
      <c r="I5" s="27" t="s">
        <v>28</v>
      </c>
    </row>
    <row r="6" spans="1:9">
      <c r="A6" s="16" t="s">
        <v>17</v>
      </c>
      <c r="B6" s="17" t="s">
        <v>18</v>
      </c>
      <c r="C6" s="18">
        <v>14980</v>
      </c>
      <c r="D6" s="15">
        <f t="shared" ref="D6:D19" si="0">C6*(1.075*1.05-1)</f>
        <v>1928.6749999999988</v>
      </c>
      <c r="E6" s="15">
        <f t="shared" ref="E6:E19" si="1">C6+D6</f>
        <v>16908.674999999999</v>
      </c>
      <c r="F6" s="24">
        <f t="shared" ref="F6:F19" si="2">PMT($F$2/12,$F$1*12,-E6)</f>
        <v>369.74720187509678</v>
      </c>
    </row>
    <row r="7" spans="1:9">
      <c r="A7" s="6"/>
      <c r="B7" s="17" t="s">
        <v>19</v>
      </c>
      <c r="C7" s="18">
        <v>25290</v>
      </c>
      <c r="D7" s="15">
        <f t="shared" si="0"/>
        <v>3256.0874999999978</v>
      </c>
      <c r="E7" s="15">
        <f t="shared" si="1"/>
        <v>28546.087499999998</v>
      </c>
      <c r="F7" s="24">
        <f t="shared" si="2"/>
        <v>624.22608380648853</v>
      </c>
    </row>
    <row r="8" spans="1:9">
      <c r="A8" s="16" t="s">
        <v>20</v>
      </c>
      <c r="B8" s="17" t="s">
        <v>21</v>
      </c>
      <c r="C8" s="19">
        <v>15295</v>
      </c>
      <c r="D8" s="15">
        <f t="shared" si="0"/>
        <v>1969.2312499999987</v>
      </c>
      <c r="E8" s="15">
        <f t="shared" si="1"/>
        <v>17264.231249999997</v>
      </c>
      <c r="F8" s="24">
        <f t="shared" si="2"/>
        <v>377.5222598584516</v>
      </c>
    </row>
    <row r="9" spans="1:9">
      <c r="A9" s="16" t="s">
        <v>22</v>
      </c>
      <c r="B9" s="17" t="s">
        <v>23</v>
      </c>
      <c r="C9" s="19">
        <v>16495</v>
      </c>
      <c r="D9" s="15">
        <f t="shared" si="0"/>
        <v>2123.7312499999989</v>
      </c>
      <c r="E9" s="15">
        <f t="shared" si="1"/>
        <v>18618.731249999997</v>
      </c>
      <c r="F9" s="24">
        <f t="shared" si="2"/>
        <v>407.14152836646997</v>
      </c>
    </row>
    <row r="10" spans="1:9">
      <c r="A10" s="16" t="s">
        <v>24</v>
      </c>
      <c r="B10" s="17" t="s">
        <v>25</v>
      </c>
      <c r="C10" s="20">
        <v>16895</v>
      </c>
      <c r="D10" s="15">
        <f t="shared" si="0"/>
        <v>2175.2312499999985</v>
      </c>
      <c r="E10" s="15">
        <f t="shared" si="1"/>
        <v>19070.231249999997</v>
      </c>
      <c r="F10" s="24">
        <f t="shared" si="2"/>
        <v>417.01461786914285</v>
      </c>
    </row>
    <row r="11" spans="1:9">
      <c r="A11" s="6"/>
      <c r="B11" s="17" t="s">
        <v>26</v>
      </c>
      <c r="C11" s="20">
        <v>20795</v>
      </c>
      <c r="D11" s="15">
        <f t="shared" si="0"/>
        <v>2677.3562499999985</v>
      </c>
      <c r="E11" s="15">
        <f t="shared" si="1"/>
        <v>23472.356249999997</v>
      </c>
      <c r="F11" s="24">
        <f t="shared" si="2"/>
        <v>513.27724052020278</v>
      </c>
    </row>
    <row r="12" spans="1:9">
      <c r="A12" s="16" t="s">
        <v>27</v>
      </c>
      <c r="B12" s="17" t="s">
        <v>28</v>
      </c>
      <c r="C12" s="20">
        <v>14598</v>
      </c>
      <c r="D12" s="15">
        <f t="shared" si="0"/>
        <v>1879.4924999999989</v>
      </c>
      <c r="E12" s="15">
        <f t="shared" si="1"/>
        <v>16477.4925</v>
      </c>
      <c r="F12" s="24">
        <f t="shared" si="2"/>
        <v>360.31840140004425</v>
      </c>
    </row>
    <row r="13" spans="1:9">
      <c r="A13" s="16" t="s">
        <v>29</v>
      </c>
      <c r="B13" s="17" t="s">
        <v>30</v>
      </c>
      <c r="C13" s="19">
        <v>17900</v>
      </c>
      <c r="D13" s="15">
        <f t="shared" si="0"/>
        <v>2304.6249999999986</v>
      </c>
      <c r="E13" s="15">
        <f t="shared" si="1"/>
        <v>20204.625</v>
      </c>
      <c r="F13" s="24">
        <f t="shared" si="2"/>
        <v>441.82075524460834</v>
      </c>
    </row>
    <row r="14" spans="1:9">
      <c r="A14" s="6"/>
      <c r="B14" s="17" t="s">
        <v>31</v>
      </c>
      <c r="C14" s="19">
        <v>20380</v>
      </c>
      <c r="D14" s="15">
        <f t="shared" si="0"/>
        <v>2623.9249999999984</v>
      </c>
      <c r="E14" s="15">
        <f t="shared" si="1"/>
        <v>23003.924999999999</v>
      </c>
      <c r="F14" s="24">
        <f t="shared" si="2"/>
        <v>503.03391016117973</v>
      </c>
    </row>
    <row r="15" spans="1:9">
      <c r="A15" s="16" t="s">
        <v>33</v>
      </c>
      <c r="B15" s="17" t="s">
        <v>34</v>
      </c>
      <c r="C15" s="19">
        <v>21595</v>
      </c>
      <c r="D15" s="15">
        <f t="shared" si="0"/>
        <v>2780.3562499999985</v>
      </c>
      <c r="E15" s="15">
        <f t="shared" si="1"/>
        <v>24375.356249999997</v>
      </c>
      <c r="F15" s="24">
        <f t="shared" si="2"/>
        <v>533.02341952554832</v>
      </c>
    </row>
    <row r="16" spans="1:9">
      <c r="A16" s="6"/>
      <c r="B16" s="17" t="s">
        <v>35</v>
      </c>
      <c r="C16" s="19">
        <v>24895</v>
      </c>
      <c r="D16" s="15">
        <f t="shared" si="0"/>
        <v>3205.231249999998</v>
      </c>
      <c r="E16" s="15">
        <f t="shared" si="1"/>
        <v>28100.231249999997</v>
      </c>
      <c r="F16" s="24">
        <f t="shared" si="2"/>
        <v>614.47640792259904</v>
      </c>
    </row>
    <row r="17" spans="1:6">
      <c r="A17" s="16" t="s">
        <v>36</v>
      </c>
      <c r="B17" s="17" t="s">
        <v>37</v>
      </c>
      <c r="C17" s="19">
        <v>14245</v>
      </c>
      <c r="D17" s="15">
        <f t="shared" si="0"/>
        <v>1834.0437499999989</v>
      </c>
      <c r="E17" s="15">
        <f t="shared" si="1"/>
        <v>16079.043749999999</v>
      </c>
      <c r="F17" s="24">
        <f t="shared" si="2"/>
        <v>351.60539991393551</v>
      </c>
    </row>
    <row r="18" spans="1:6">
      <c r="A18" s="6"/>
      <c r="B18" s="17" t="s">
        <v>38</v>
      </c>
      <c r="C18" s="19">
        <v>18335</v>
      </c>
      <c r="D18" s="15">
        <f t="shared" si="0"/>
        <v>2360.6312499999985</v>
      </c>
      <c r="E18" s="15">
        <f t="shared" si="1"/>
        <v>20695.631249999999</v>
      </c>
      <c r="F18" s="24">
        <f t="shared" si="2"/>
        <v>452.55774007876494</v>
      </c>
    </row>
    <row r="19" spans="1:6" ht="15.75" thickBot="1">
      <c r="A19" s="21" t="s">
        <v>39</v>
      </c>
      <c r="B19" s="22" t="s">
        <v>40</v>
      </c>
      <c r="C19" s="23">
        <v>19975</v>
      </c>
      <c r="D19" s="7">
        <f t="shared" si="0"/>
        <v>2571.7812499999982</v>
      </c>
      <c r="E19" s="7">
        <f t="shared" si="1"/>
        <v>22546.78125</v>
      </c>
      <c r="F19" s="25">
        <f t="shared" si="2"/>
        <v>493.03740703972352</v>
      </c>
    </row>
  </sheetData>
  <conditionalFormatting sqref="A5:F19">
    <cfRule type="expression" dxfId="2" priority="1">
      <formula>$B5=$I$5</formula>
    </cfRule>
    <cfRule type="expression" dxfId="1" priority="2">
      <formula>$E5&gt;=20000</formula>
    </cfRule>
    <cfRule type="expression" dxfId="0" priority="3">
      <formula>$E5&lt;20000</formula>
    </cfRule>
  </conditionalFormatting>
  <dataValidations count="3">
    <dataValidation type="list" allowBlank="1" showInputMessage="1" showErrorMessage="1" sqref="I4" xr:uid="{51509DBF-F37B-421A-BE75-EE125290623A}">
      <formula1>$A$5:$A$19</formula1>
    </dataValidation>
    <dataValidation type="list" allowBlank="1" showInputMessage="1" showErrorMessage="1" sqref="I5" xr:uid="{9772BB50-5E15-4CF5-B126-84849B2A20D8}">
      <formula1>$B$5:$B$19</formula1>
    </dataValidation>
    <dataValidation type="list" allowBlank="1" showInputMessage="1" showErrorMessage="1" sqref="L8" xr:uid="{9855B53D-41F5-406C-99A9-8680C241C907}">
      <formula1>$L$5:$L$7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Éditions Logitell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Naziha Rechoum</dc:creator>
  <cp:keywords/>
  <dc:description/>
  <cp:lastModifiedBy>Olivier Tremblay</cp:lastModifiedBy>
  <cp:revision/>
  <dcterms:created xsi:type="dcterms:W3CDTF">2010-09-07T09:38:14Z</dcterms:created>
  <dcterms:modified xsi:type="dcterms:W3CDTF">2026-02-12T14:07:39Z</dcterms:modified>
  <cp:category/>
  <cp:contentStatus/>
</cp:coreProperties>
</file>