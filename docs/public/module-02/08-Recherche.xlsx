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livecegepfxgqc-my.sharepoint.com/personal/otremblay_cegepgarneau_ca/Documents/Cours/06A - Milieu de l_info/01_Contenus/Excel/Exercices/"/>
    </mc:Choice>
  </mc:AlternateContent>
  <xr:revisionPtr revIDLastSave="147" documentId="13_ncr:1_{43FF0E05-CEEC-4189-9B58-54A67C1CF3C7}" xr6:coauthVersionLast="47" xr6:coauthVersionMax="47" xr10:uidLastSave="{51AC32CD-9775-45DB-AA92-98A0F7948D51}"/>
  <bookViews>
    <workbookView xWindow="-108" yWindow="-108" windowWidth="23256" windowHeight="12456" activeTab="2" xr2:uid="{A055B670-109A-4B02-B07F-FAB8CBE48381}"/>
  </bookViews>
  <sheets>
    <sheet name="Exercice-Produit" sheetId="11" r:id="rId1"/>
    <sheet name="Solution-Produit" sheetId="10" r:id="rId2"/>
    <sheet name="Exercice-Café" sheetId="12" r:id="rId3"/>
    <sheet name="Solution-Café" sheetId="1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3" l="1"/>
  <c r="D4" i="13"/>
  <c r="D6" i="13"/>
  <c r="D3" i="13"/>
  <c r="G4" i="10"/>
  <c r="H4" i="10"/>
</calcChain>
</file>

<file path=xl/sharedStrings.xml><?xml version="1.0" encoding="utf-8"?>
<sst xmlns="http://schemas.openxmlformats.org/spreadsheetml/2006/main" count="466" uniqueCount="224">
  <si>
    <t>Code produit</t>
  </si>
  <si>
    <t>Nom du produit</t>
  </si>
  <si>
    <t>Prix</t>
  </si>
  <si>
    <t>Quantité en stock</t>
  </si>
  <si>
    <t>P001</t>
  </si>
  <si>
    <t>Stylo</t>
  </si>
  <si>
    <t>Recherche de produit :</t>
  </si>
  <si>
    <t>liste déroulante ici</t>
  </si>
  <si>
    <t>P002</t>
  </si>
  <si>
    <t>Cahier</t>
  </si>
  <si>
    <t>P003</t>
  </si>
  <si>
    <t>Gomme</t>
  </si>
  <si>
    <t>afficher le prix ici</t>
  </si>
  <si>
    <t>afficher la quantité ici</t>
  </si>
  <si>
    <t>P004</t>
  </si>
  <si>
    <t>Règle</t>
  </si>
  <si>
    <t>P005</t>
  </si>
  <si>
    <t>Crayon</t>
  </si>
  <si>
    <t>P006</t>
  </si>
  <si>
    <t>Feutre</t>
  </si>
  <si>
    <r>
      <rPr>
        <b/>
        <sz val="11"/>
        <color theme="1"/>
        <rFont val="Calibri"/>
        <family val="2"/>
        <scheme val="minor"/>
      </rPr>
      <t xml:space="preserve">Instructions:
</t>
    </r>
    <r>
      <rPr>
        <sz val="11"/>
        <color theme="1"/>
        <rFont val="Calibri"/>
        <family val="2"/>
        <scheme val="minor"/>
      </rPr>
      <t xml:space="preserve">
À l'aide de la validation de données, transformer la cellule H2 en une liste déroulante de codes de produits (ex.: P001, P002, etc.)
Dans la cellule G4, utiliser la RechercheV pour faire la correspondance entre le code de produit sélectionné et son prix.
Dans la cellule H4, utiliser la RechercheV pour faire la correspondance entre le code de produit sélectionné et sa quantité en stock.</t>
    </r>
  </si>
  <si>
    <t>P007</t>
  </si>
  <si>
    <t>Classeur</t>
  </si>
  <si>
    <t>P008</t>
  </si>
  <si>
    <t>Agrafeuse</t>
  </si>
  <si>
    <t>P009</t>
  </si>
  <si>
    <t>Perforatrice</t>
  </si>
  <si>
    <t>P010</t>
  </si>
  <si>
    <t>Colle</t>
  </si>
  <si>
    <t>P011</t>
  </si>
  <si>
    <t>Scotch</t>
  </si>
  <si>
    <t>P012</t>
  </si>
  <si>
    <t>Cartable</t>
  </si>
  <si>
    <t>P013</t>
  </si>
  <si>
    <t>Marqueur</t>
  </si>
  <si>
    <t>P014</t>
  </si>
  <si>
    <t>Bloc-notes</t>
  </si>
  <si>
    <t>P015</t>
  </si>
  <si>
    <t>Enveloppe</t>
  </si>
  <si>
    <t>P016</t>
  </si>
  <si>
    <t>Papier A4</t>
  </si>
  <si>
    <t>P017</t>
  </si>
  <si>
    <t>Papier A3</t>
  </si>
  <si>
    <t>P018</t>
  </si>
  <si>
    <t>Intercalaire</t>
  </si>
  <si>
    <t>P019</t>
  </si>
  <si>
    <t>Étiquette</t>
  </si>
  <si>
    <t>P020</t>
  </si>
  <si>
    <t>Plastifieuse</t>
  </si>
  <si>
    <t>P021</t>
  </si>
  <si>
    <t>Plastique A4</t>
  </si>
  <si>
    <t>P022</t>
  </si>
  <si>
    <t>Plastique A3</t>
  </si>
  <si>
    <t>P023</t>
  </si>
  <si>
    <t>Correcteur</t>
  </si>
  <si>
    <t>P024</t>
  </si>
  <si>
    <t>Compas</t>
  </si>
  <si>
    <t>P025</t>
  </si>
  <si>
    <t>Équerre</t>
  </si>
  <si>
    <t>P026</t>
  </si>
  <si>
    <t>Calculatrice</t>
  </si>
  <si>
    <t>P027</t>
  </si>
  <si>
    <t>Tableau blanc</t>
  </si>
  <si>
    <t>P028</t>
  </si>
  <si>
    <t>Feutre tableau</t>
  </si>
  <si>
    <t>P029</t>
  </si>
  <si>
    <t>Chiffon tableau</t>
  </si>
  <si>
    <t>P030</t>
  </si>
  <si>
    <t>Clé USB 16GB</t>
  </si>
  <si>
    <t>P031</t>
  </si>
  <si>
    <t>Clé USB 32GB</t>
  </si>
  <si>
    <t>P032</t>
  </si>
  <si>
    <t>Clé USB 64GB</t>
  </si>
  <si>
    <t>P033</t>
  </si>
  <si>
    <t>Disque dur externe</t>
  </si>
  <si>
    <t>P034</t>
  </si>
  <si>
    <t>SSD externe</t>
  </si>
  <si>
    <t>P035</t>
  </si>
  <si>
    <t>Chargeur USB</t>
  </si>
  <si>
    <t>P036</t>
  </si>
  <si>
    <t>Câble HDMI</t>
  </si>
  <si>
    <t>P037</t>
  </si>
  <si>
    <t>Câble Ethernet</t>
  </si>
  <si>
    <t>P038</t>
  </si>
  <si>
    <t>Multiprise</t>
  </si>
  <si>
    <t>P039</t>
  </si>
  <si>
    <t>Adaptateur secteur</t>
  </si>
  <si>
    <t>P040</t>
  </si>
  <si>
    <t>Support téléphone</t>
  </si>
  <si>
    <t>P041</t>
  </si>
  <si>
    <t>Support ordinateur</t>
  </si>
  <si>
    <t>P042</t>
  </si>
  <si>
    <t>Souris</t>
  </si>
  <si>
    <t>P043</t>
  </si>
  <si>
    <t>Clavier</t>
  </si>
  <si>
    <t>P044</t>
  </si>
  <si>
    <t>Casque audio</t>
  </si>
  <si>
    <t>P045</t>
  </si>
  <si>
    <t>Webcam</t>
  </si>
  <si>
    <t>P046</t>
  </si>
  <si>
    <t>Imprimante</t>
  </si>
  <si>
    <t>P047</t>
  </si>
  <si>
    <t>Cartouche encre noire</t>
  </si>
  <si>
    <t>P048</t>
  </si>
  <si>
    <t>Cartouche encre couleur</t>
  </si>
  <si>
    <t>P049</t>
  </si>
  <si>
    <t>Papier photo</t>
  </si>
  <si>
    <t>P050</t>
  </si>
  <si>
    <t>Projecteur</t>
  </si>
  <si>
    <t>P051</t>
  </si>
  <si>
    <t>Écran de projection</t>
  </si>
  <si>
    <t>P052</t>
  </si>
  <si>
    <t>Ordinateur portable</t>
  </si>
  <si>
    <t>P053</t>
  </si>
  <si>
    <t>Ordinateur de bureau</t>
  </si>
  <si>
    <t>P054</t>
  </si>
  <si>
    <t>Tablette</t>
  </si>
  <si>
    <t>P055</t>
  </si>
  <si>
    <t>Smartphone</t>
  </si>
  <si>
    <t>P056</t>
  </si>
  <si>
    <t>Chargeur sans fil</t>
  </si>
  <si>
    <t>P057</t>
  </si>
  <si>
    <t>Station d'accueil</t>
  </si>
  <si>
    <t>P058</t>
  </si>
  <si>
    <t>Hub USB</t>
  </si>
  <si>
    <t>P059</t>
  </si>
  <si>
    <t>Disque Blu-ray</t>
  </si>
  <si>
    <t>P060</t>
  </si>
  <si>
    <t>Disque DVD</t>
  </si>
  <si>
    <t>P061</t>
  </si>
  <si>
    <t>Disque CD</t>
  </si>
  <si>
    <t>P062</t>
  </si>
  <si>
    <t>Boîtier disque</t>
  </si>
  <si>
    <t>P063</t>
  </si>
  <si>
    <t>Support mural</t>
  </si>
  <si>
    <t>P064</t>
  </si>
  <si>
    <t>Trépied</t>
  </si>
  <si>
    <t>P065</t>
  </si>
  <si>
    <t>Enceinte Bluetooth</t>
  </si>
  <si>
    <t>P066</t>
  </si>
  <si>
    <t>Amplificateur</t>
  </si>
  <si>
    <t>P067</t>
  </si>
  <si>
    <t>Microphone</t>
  </si>
  <si>
    <t>P068</t>
  </si>
  <si>
    <t>Caméra de sécurité</t>
  </si>
  <si>
    <t>P069</t>
  </si>
  <si>
    <t>Alarme maison</t>
  </si>
  <si>
    <t>P070</t>
  </si>
  <si>
    <t>Climatiseur</t>
  </si>
  <si>
    <t>P071</t>
  </si>
  <si>
    <t>Ventilateur</t>
  </si>
  <si>
    <t>P072</t>
  </si>
  <si>
    <t>Chauffage d'appoint</t>
  </si>
  <si>
    <t>P073</t>
  </si>
  <si>
    <t>Lampe de bureau</t>
  </si>
  <si>
    <t>P074</t>
  </si>
  <si>
    <t>Lampe LED</t>
  </si>
  <si>
    <t>P075</t>
  </si>
  <si>
    <t>Spot LED</t>
  </si>
  <si>
    <t>P076</t>
  </si>
  <si>
    <t>Guirlande lumineuse</t>
  </si>
  <si>
    <t>P077</t>
  </si>
  <si>
    <t>Chargeur solaire</t>
  </si>
  <si>
    <t>P078</t>
  </si>
  <si>
    <t>Batterie externe</t>
  </si>
  <si>
    <t>P079</t>
  </si>
  <si>
    <t>Powerbank solaire</t>
  </si>
  <si>
    <t>P080</t>
  </si>
  <si>
    <t>Valise</t>
  </si>
  <si>
    <t>P081</t>
  </si>
  <si>
    <t>Sac à dos</t>
  </si>
  <si>
    <t>P082</t>
  </si>
  <si>
    <t>Sacoche ordinateur</t>
  </si>
  <si>
    <t>P083</t>
  </si>
  <si>
    <t>Trousse</t>
  </si>
  <si>
    <t>P084</t>
  </si>
  <si>
    <t>Boîte de rangement</t>
  </si>
  <si>
    <t>P085</t>
  </si>
  <si>
    <t>Étagère</t>
  </si>
  <si>
    <t>P086</t>
  </si>
  <si>
    <t>Armoire</t>
  </si>
  <si>
    <t>P087</t>
  </si>
  <si>
    <t>Bureau</t>
  </si>
  <si>
    <t>P088</t>
  </si>
  <si>
    <t>Chaise de bureau</t>
  </si>
  <si>
    <t>P089</t>
  </si>
  <si>
    <t>Fauteuil</t>
  </si>
  <si>
    <t>P090</t>
  </si>
  <si>
    <t>Table</t>
  </si>
  <si>
    <t>P091</t>
  </si>
  <si>
    <t>Tabouret</t>
  </si>
  <si>
    <t>P092</t>
  </si>
  <si>
    <t>Paravent</t>
  </si>
  <si>
    <t>P093</t>
  </si>
  <si>
    <t>Tapis</t>
  </si>
  <si>
    <t>P094</t>
  </si>
  <si>
    <t>Cadre photo</t>
  </si>
  <si>
    <t>P095</t>
  </si>
  <si>
    <t>Plante artificielle</t>
  </si>
  <si>
    <t>P096</t>
  </si>
  <si>
    <t>Plante naturelle</t>
  </si>
  <si>
    <t>P097</t>
  </si>
  <si>
    <t>Pot de fleurs</t>
  </si>
  <si>
    <t>P098</t>
  </si>
  <si>
    <t>Arrosoir</t>
  </si>
  <si>
    <t>P099</t>
  </si>
  <si>
    <t>Tondeuse</t>
  </si>
  <si>
    <t>P100</t>
  </si>
  <si>
    <t>Tronçonneuse</t>
  </si>
  <si>
    <t>Client</t>
  </si>
  <si>
    <t>Produit</t>
  </si>
  <si>
    <t>Alice</t>
  </si>
  <si>
    <t>C02</t>
  </si>
  <si>
    <t>C01</t>
  </si>
  <si>
    <t>Espresso</t>
  </si>
  <si>
    <t>Karim</t>
  </si>
  <si>
    <t>Latte</t>
  </si>
  <si>
    <t>Sophie</t>
  </si>
  <si>
    <t>C04</t>
  </si>
  <si>
    <t>C03</t>
  </si>
  <si>
    <t>Cappuccino</t>
  </si>
  <si>
    <t>Thomas</t>
  </si>
  <si>
    <t>Thé chai</t>
  </si>
  <si>
    <r>
      <t xml:space="preserve">Instructions:
</t>
    </r>
    <r>
      <rPr>
        <sz val="11"/>
        <color theme="1"/>
        <rFont val="Calibri"/>
        <family val="2"/>
        <scheme val="minor"/>
      </rPr>
      <t xml:space="preserve">1) Compléter la colonne Prix à l’aide de RECHERCHEV.
2) Tester la formule sans le 4e argument.
3) Tester la formule avec correspondance exacte.
Observer la différence de comportement.
</t>
    </r>
    <r>
      <rPr>
        <b/>
        <sz val="11"/>
        <color theme="1"/>
        <rFont val="Calibri"/>
        <family val="2"/>
        <scheme val="minor"/>
      </rPr>
      <t>Astuces:</t>
    </r>
    <r>
      <rPr>
        <sz val="11"/>
        <color theme="1"/>
        <rFont val="Calibri"/>
        <family val="2"/>
        <scheme val="minor"/>
      </rPr>
      <t xml:space="preserve">
Figer la table des produits avec des références absolues ($).
S'assurer de mettre le 4e paramètre (FAUX) dans la formule, cela évite des mauvaises correspondances.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</si>
</sst>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 #,##0.00_)\ &quot;$&quot;_ ;_ * \(#,##0.00\)\ &quot;$&quot;_ ;_ * &quot;-&quot;??_)\ &quot;$&quot;_ ;_ @_ "/>
    <numFmt numFmtId="164" formatCode="#,##0.00\ &quot;$&quot;"/>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1" xfId="0" applyBorder="1"/>
    <xf numFmtId="0" fontId="2" fillId="0" borderId="1" xfId="0" applyFont="1" applyBorder="1"/>
    <xf numFmtId="164" fontId="0" fillId="0" borderId="1" xfId="1" applyNumberFormat="1" applyFont="1" applyBorder="1"/>
    <xf numFmtId="0" fontId="3" fillId="2" borderId="1" xfId="0" applyFont="1" applyFill="1" applyBorder="1"/>
    <xf numFmtId="0" fontId="4" fillId="4" borderId="1" xfId="0" applyFont="1" applyFill="1" applyBorder="1"/>
    <xf numFmtId="164" fontId="4" fillId="3" borderId="1" xfId="1" applyNumberFormat="1" applyFont="1" applyFill="1" applyBorder="1"/>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44" fontId="0" fillId="0" borderId="1" xfId="1" applyFont="1" applyBorder="1"/>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A216-007C-45CE-8C64-665F9BCCC036}">
  <dimension ref="A1:H101"/>
  <sheetViews>
    <sheetView workbookViewId="0">
      <selection activeCell="G4" sqref="G4"/>
    </sheetView>
  </sheetViews>
  <sheetFormatPr baseColWidth="10" defaultColWidth="11.44140625" defaultRowHeight="14.4" x14ac:dyDescent="0.3"/>
  <cols>
    <col min="1" max="1" width="12.33203125" bestFit="1" customWidth="1"/>
    <col min="2" max="2" width="22.33203125" bestFit="1" customWidth="1"/>
    <col min="3" max="3" width="9.44140625" bestFit="1" customWidth="1"/>
    <col min="4" max="4" width="16.33203125" bestFit="1" customWidth="1"/>
    <col min="7" max="7" width="29.6640625" bestFit="1" customWidth="1"/>
    <col min="8" max="8" width="35.88671875" customWidth="1"/>
  </cols>
  <sheetData>
    <row r="1" spans="1:8" x14ac:dyDescent="0.3">
      <c r="A1" s="2" t="s">
        <v>0</v>
      </c>
      <c r="B1" s="2" t="s">
        <v>1</v>
      </c>
      <c r="C1" s="2" t="s">
        <v>2</v>
      </c>
      <c r="D1" s="2" t="s">
        <v>3</v>
      </c>
    </row>
    <row r="2" spans="1:8" ht="21" x14ac:dyDescent="0.4">
      <c r="A2" s="1" t="s">
        <v>4</v>
      </c>
      <c r="B2" s="1" t="s">
        <v>5</v>
      </c>
      <c r="C2" s="3">
        <v>1.5</v>
      </c>
      <c r="D2" s="1">
        <v>100</v>
      </c>
      <c r="G2" s="4" t="s">
        <v>6</v>
      </c>
      <c r="H2" s="5" t="s">
        <v>7</v>
      </c>
    </row>
    <row r="3" spans="1:8" ht="21" x14ac:dyDescent="0.4">
      <c r="A3" s="1" t="s">
        <v>8</v>
      </c>
      <c r="B3" s="1" t="s">
        <v>9</v>
      </c>
      <c r="C3" s="3">
        <v>3</v>
      </c>
      <c r="D3" s="1">
        <v>50</v>
      </c>
      <c r="G3" s="4" t="s">
        <v>2</v>
      </c>
      <c r="H3" s="4" t="s">
        <v>3</v>
      </c>
    </row>
    <row r="4" spans="1:8" ht="21" x14ac:dyDescent="0.4">
      <c r="A4" s="1" t="s">
        <v>10</v>
      </c>
      <c r="B4" s="1" t="s">
        <v>11</v>
      </c>
      <c r="C4" s="3">
        <v>0.75</v>
      </c>
      <c r="D4" s="1">
        <v>200</v>
      </c>
      <c r="G4" s="6" t="s">
        <v>12</v>
      </c>
      <c r="H4" s="6" t="s">
        <v>13</v>
      </c>
    </row>
    <row r="5" spans="1:8" x14ac:dyDescent="0.3">
      <c r="A5" s="1" t="s">
        <v>14</v>
      </c>
      <c r="B5" s="1" t="s">
        <v>15</v>
      </c>
      <c r="C5" s="3">
        <v>2</v>
      </c>
      <c r="D5" s="1">
        <v>75</v>
      </c>
    </row>
    <row r="6" spans="1:8" ht="15" thickBot="1" x14ac:dyDescent="0.35">
      <c r="A6" s="1" t="s">
        <v>16</v>
      </c>
      <c r="B6" s="1" t="s">
        <v>17</v>
      </c>
      <c r="C6" s="3">
        <v>1</v>
      </c>
      <c r="D6" s="1">
        <v>150</v>
      </c>
    </row>
    <row r="7" spans="1:8" x14ac:dyDescent="0.3">
      <c r="A7" s="1" t="s">
        <v>18</v>
      </c>
      <c r="B7" s="1" t="s">
        <v>19</v>
      </c>
      <c r="C7" s="3">
        <v>2.5</v>
      </c>
      <c r="D7" s="1">
        <v>80</v>
      </c>
      <c r="G7" s="7" t="s">
        <v>20</v>
      </c>
      <c r="H7" s="8"/>
    </row>
    <row r="8" spans="1:8" x14ac:dyDescent="0.3">
      <c r="A8" s="1" t="s">
        <v>21</v>
      </c>
      <c r="B8" s="1" t="s">
        <v>22</v>
      </c>
      <c r="C8" s="3">
        <v>5</v>
      </c>
      <c r="D8" s="1">
        <v>40</v>
      </c>
      <c r="G8" s="9"/>
      <c r="H8" s="10"/>
    </row>
    <row r="9" spans="1:8" x14ac:dyDescent="0.3">
      <c r="A9" s="1" t="s">
        <v>23</v>
      </c>
      <c r="B9" s="1" t="s">
        <v>24</v>
      </c>
      <c r="C9" s="3">
        <v>7.5</v>
      </c>
      <c r="D9" s="1">
        <v>30</v>
      </c>
      <c r="G9" s="9"/>
      <c r="H9" s="10"/>
    </row>
    <row r="10" spans="1:8" x14ac:dyDescent="0.3">
      <c r="A10" s="1" t="s">
        <v>25</v>
      </c>
      <c r="B10" s="1" t="s">
        <v>26</v>
      </c>
      <c r="C10" s="3">
        <v>6</v>
      </c>
      <c r="D10" s="1">
        <v>25</v>
      </c>
      <c r="G10" s="9"/>
      <c r="H10" s="10"/>
    </row>
    <row r="11" spans="1:8" x14ac:dyDescent="0.3">
      <c r="A11" s="1" t="s">
        <v>27</v>
      </c>
      <c r="B11" s="1" t="s">
        <v>28</v>
      </c>
      <c r="C11" s="3">
        <v>1.25</v>
      </c>
      <c r="D11" s="1">
        <v>120</v>
      </c>
      <c r="G11" s="9"/>
      <c r="H11" s="10"/>
    </row>
    <row r="12" spans="1:8" x14ac:dyDescent="0.3">
      <c r="A12" s="1" t="s">
        <v>29</v>
      </c>
      <c r="B12" s="1" t="s">
        <v>30</v>
      </c>
      <c r="C12" s="3">
        <v>2</v>
      </c>
      <c r="D12" s="1">
        <v>90</v>
      </c>
      <c r="G12" s="9"/>
      <c r="H12" s="10"/>
    </row>
    <row r="13" spans="1:8" x14ac:dyDescent="0.3">
      <c r="A13" s="1" t="s">
        <v>31</v>
      </c>
      <c r="B13" s="1" t="s">
        <v>32</v>
      </c>
      <c r="C13" s="3">
        <v>10</v>
      </c>
      <c r="D13" s="1">
        <v>20</v>
      </c>
      <c r="G13" s="9"/>
      <c r="H13" s="10"/>
    </row>
    <row r="14" spans="1:8" x14ac:dyDescent="0.3">
      <c r="A14" s="1" t="s">
        <v>33</v>
      </c>
      <c r="B14" s="1" t="s">
        <v>34</v>
      </c>
      <c r="C14" s="3">
        <v>3.5</v>
      </c>
      <c r="D14" s="1">
        <v>60</v>
      </c>
      <c r="G14" s="9"/>
      <c r="H14" s="10"/>
    </row>
    <row r="15" spans="1:8" x14ac:dyDescent="0.3">
      <c r="A15" s="1" t="s">
        <v>35</v>
      </c>
      <c r="B15" s="1" t="s">
        <v>36</v>
      </c>
      <c r="C15" s="3">
        <v>4</v>
      </c>
      <c r="D15" s="1">
        <v>70</v>
      </c>
      <c r="G15" s="9"/>
      <c r="H15" s="10"/>
    </row>
    <row r="16" spans="1:8" x14ac:dyDescent="0.3">
      <c r="A16" s="1" t="s">
        <v>37</v>
      </c>
      <c r="B16" s="1" t="s">
        <v>38</v>
      </c>
      <c r="C16" s="3">
        <v>0.5</v>
      </c>
      <c r="D16" s="1">
        <v>500</v>
      </c>
      <c r="G16" s="9"/>
      <c r="H16" s="10"/>
    </row>
    <row r="17" spans="1:8" ht="15" thickBot="1" x14ac:dyDescent="0.35">
      <c r="A17" s="1" t="s">
        <v>39</v>
      </c>
      <c r="B17" s="1" t="s">
        <v>40</v>
      </c>
      <c r="C17" s="3">
        <v>5</v>
      </c>
      <c r="D17" s="1">
        <v>1000</v>
      </c>
      <c r="G17" s="11"/>
      <c r="H17" s="12"/>
    </row>
    <row r="18" spans="1:8" x14ac:dyDescent="0.3">
      <c r="A18" s="1" t="s">
        <v>41</v>
      </c>
      <c r="B18" s="1" t="s">
        <v>42</v>
      </c>
      <c r="C18" s="3">
        <v>10</v>
      </c>
      <c r="D18" s="1">
        <v>500</v>
      </c>
    </row>
    <row r="19" spans="1:8" x14ac:dyDescent="0.3">
      <c r="A19" s="1" t="s">
        <v>43</v>
      </c>
      <c r="B19" s="1" t="s">
        <v>44</v>
      </c>
      <c r="C19" s="3">
        <v>2</v>
      </c>
      <c r="D19" s="1">
        <v>300</v>
      </c>
    </row>
    <row r="20" spans="1:8" x14ac:dyDescent="0.3">
      <c r="A20" s="1" t="s">
        <v>45</v>
      </c>
      <c r="B20" s="1" t="s">
        <v>46</v>
      </c>
      <c r="C20" s="3">
        <v>1</v>
      </c>
      <c r="D20" s="1">
        <v>400</v>
      </c>
    </row>
    <row r="21" spans="1:8" x14ac:dyDescent="0.3">
      <c r="A21" s="1" t="s">
        <v>47</v>
      </c>
      <c r="B21" s="1" t="s">
        <v>48</v>
      </c>
      <c r="C21" s="3">
        <v>50</v>
      </c>
      <c r="D21" s="1">
        <v>10</v>
      </c>
    </row>
    <row r="22" spans="1:8" x14ac:dyDescent="0.3">
      <c r="A22" s="1" t="s">
        <v>49</v>
      </c>
      <c r="B22" s="1" t="s">
        <v>50</v>
      </c>
      <c r="C22" s="3">
        <v>0.75</v>
      </c>
      <c r="D22" s="1">
        <v>1000</v>
      </c>
    </row>
    <row r="23" spans="1:8" x14ac:dyDescent="0.3">
      <c r="A23" s="1" t="s">
        <v>51</v>
      </c>
      <c r="B23" s="1" t="s">
        <v>52</v>
      </c>
      <c r="C23" s="3">
        <v>1.5</v>
      </c>
      <c r="D23" s="1">
        <v>500</v>
      </c>
    </row>
    <row r="24" spans="1:8" x14ac:dyDescent="0.3">
      <c r="A24" s="1" t="s">
        <v>53</v>
      </c>
      <c r="B24" s="1" t="s">
        <v>54</v>
      </c>
      <c r="C24" s="3">
        <v>1.25</v>
      </c>
      <c r="D24" s="1">
        <v>150</v>
      </c>
    </row>
    <row r="25" spans="1:8" x14ac:dyDescent="0.3">
      <c r="A25" s="1" t="s">
        <v>55</v>
      </c>
      <c r="B25" s="1" t="s">
        <v>56</v>
      </c>
      <c r="C25" s="3">
        <v>3</v>
      </c>
      <c r="D25" s="1">
        <v>80</v>
      </c>
    </row>
    <row r="26" spans="1:8" x14ac:dyDescent="0.3">
      <c r="A26" s="1" t="s">
        <v>57</v>
      </c>
      <c r="B26" s="1" t="s">
        <v>58</v>
      </c>
      <c r="C26" s="3">
        <v>2</v>
      </c>
      <c r="D26" s="1">
        <v>100</v>
      </c>
    </row>
    <row r="27" spans="1:8" x14ac:dyDescent="0.3">
      <c r="A27" s="1" t="s">
        <v>59</v>
      </c>
      <c r="B27" s="1" t="s">
        <v>60</v>
      </c>
      <c r="C27" s="3">
        <v>15</v>
      </c>
      <c r="D27" s="1">
        <v>25</v>
      </c>
    </row>
    <row r="28" spans="1:8" x14ac:dyDescent="0.3">
      <c r="A28" s="1" t="s">
        <v>61</v>
      </c>
      <c r="B28" s="1" t="s">
        <v>62</v>
      </c>
      <c r="C28" s="3">
        <v>50</v>
      </c>
      <c r="D28" s="1">
        <v>5</v>
      </c>
    </row>
    <row r="29" spans="1:8" x14ac:dyDescent="0.3">
      <c r="A29" s="1" t="s">
        <v>63</v>
      </c>
      <c r="B29" s="1" t="s">
        <v>64</v>
      </c>
      <c r="C29" s="3">
        <v>2.5</v>
      </c>
      <c r="D29" s="1">
        <v>200</v>
      </c>
    </row>
    <row r="30" spans="1:8" x14ac:dyDescent="0.3">
      <c r="A30" s="1" t="s">
        <v>65</v>
      </c>
      <c r="B30" s="1" t="s">
        <v>66</v>
      </c>
      <c r="C30" s="3">
        <v>1</v>
      </c>
      <c r="D30" s="1">
        <v>300</v>
      </c>
    </row>
    <row r="31" spans="1:8" x14ac:dyDescent="0.3">
      <c r="A31" s="1" t="s">
        <v>67</v>
      </c>
      <c r="B31" s="1" t="s">
        <v>68</v>
      </c>
      <c r="C31" s="3">
        <v>10</v>
      </c>
      <c r="D31" s="1">
        <v>50</v>
      </c>
    </row>
    <row r="32" spans="1:8" x14ac:dyDescent="0.3">
      <c r="A32" s="1" t="s">
        <v>69</v>
      </c>
      <c r="B32" s="1" t="s">
        <v>70</v>
      </c>
      <c r="C32" s="3">
        <v>15</v>
      </c>
      <c r="D32" s="1">
        <v>40</v>
      </c>
    </row>
    <row r="33" spans="1:4" x14ac:dyDescent="0.3">
      <c r="A33" s="1" t="s">
        <v>71</v>
      </c>
      <c r="B33" s="1" t="s">
        <v>72</v>
      </c>
      <c r="C33" s="3">
        <v>25</v>
      </c>
      <c r="D33" s="1">
        <v>30</v>
      </c>
    </row>
    <row r="34" spans="1:4" x14ac:dyDescent="0.3">
      <c r="A34" s="1" t="s">
        <v>73</v>
      </c>
      <c r="B34" s="1" t="s">
        <v>74</v>
      </c>
      <c r="C34" s="3">
        <v>50</v>
      </c>
      <c r="D34" s="1">
        <v>20</v>
      </c>
    </row>
    <row r="35" spans="1:4" x14ac:dyDescent="0.3">
      <c r="A35" s="1" t="s">
        <v>75</v>
      </c>
      <c r="B35" s="1" t="s">
        <v>76</v>
      </c>
      <c r="C35" s="3">
        <v>100</v>
      </c>
      <c r="D35" s="1">
        <v>10</v>
      </c>
    </row>
    <row r="36" spans="1:4" x14ac:dyDescent="0.3">
      <c r="A36" s="1" t="s">
        <v>77</v>
      </c>
      <c r="B36" s="1" t="s">
        <v>78</v>
      </c>
      <c r="C36" s="3">
        <v>8</v>
      </c>
      <c r="D36" s="1">
        <v>60</v>
      </c>
    </row>
    <row r="37" spans="1:4" x14ac:dyDescent="0.3">
      <c r="A37" s="1" t="s">
        <v>79</v>
      </c>
      <c r="B37" s="1" t="s">
        <v>80</v>
      </c>
      <c r="C37" s="3">
        <v>5</v>
      </c>
      <c r="D37" s="1">
        <v>70</v>
      </c>
    </row>
    <row r="38" spans="1:4" x14ac:dyDescent="0.3">
      <c r="A38" s="1" t="s">
        <v>81</v>
      </c>
      <c r="B38" s="1" t="s">
        <v>82</v>
      </c>
      <c r="C38" s="3">
        <v>3</v>
      </c>
      <c r="D38" s="1">
        <v>100</v>
      </c>
    </row>
    <row r="39" spans="1:4" x14ac:dyDescent="0.3">
      <c r="A39" s="1" t="s">
        <v>83</v>
      </c>
      <c r="B39" s="1" t="s">
        <v>84</v>
      </c>
      <c r="C39" s="3">
        <v>10</v>
      </c>
      <c r="D39" s="1">
        <v>40</v>
      </c>
    </row>
    <row r="40" spans="1:4" x14ac:dyDescent="0.3">
      <c r="A40" s="1" t="s">
        <v>85</v>
      </c>
      <c r="B40" s="1" t="s">
        <v>86</v>
      </c>
      <c r="C40" s="3">
        <v>15</v>
      </c>
      <c r="D40" s="1">
        <v>30</v>
      </c>
    </row>
    <row r="41" spans="1:4" x14ac:dyDescent="0.3">
      <c r="A41" s="1" t="s">
        <v>87</v>
      </c>
      <c r="B41" s="1" t="s">
        <v>88</v>
      </c>
      <c r="C41" s="3">
        <v>5</v>
      </c>
      <c r="D41" s="1">
        <v>80</v>
      </c>
    </row>
    <row r="42" spans="1:4" x14ac:dyDescent="0.3">
      <c r="A42" s="1" t="s">
        <v>89</v>
      </c>
      <c r="B42" s="1" t="s">
        <v>90</v>
      </c>
      <c r="C42" s="3">
        <v>20</v>
      </c>
      <c r="D42" s="1">
        <v>25</v>
      </c>
    </row>
    <row r="43" spans="1:4" x14ac:dyDescent="0.3">
      <c r="A43" s="1" t="s">
        <v>91</v>
      </c>
      <c r="B43" s="1" t="s">
        <v>92</v>
      </c>
      <c r="C43" s="3">
        <v>10</v>
      </c>
      <c r="D43" s="1">
        <v>50</v>
      </c>
    </row>
    <row r="44" spans="1:4" x14ac:dyDescent="0.3">
      <c r="A44" s="1" t="s">
        <v>93</v>
      </c>
      <c r="B44" s="1" t="s">
        <v>94</v>
      </c>
      <c r="C44" s="3">
        <v>20</v>
      </c>
      <c r="D44" s="1">
        <v>30</v>
      </c>
    </row>
    <row r="45" spans="1:4" x14ac:dyDescent="0.3">
      <c r="A45" s="1" t="s">
        <v>95</v>
      </c>
      <c r="B45" s="1" t="s">
        <v>96</v>
      </c>
      <c r="C45" s="3">
        <v>25</v>
      </c>
      <c r="D45" s="1">
        <v>20</v>
      </c>
    </row>
    <row r="46" spans="1:4" x14ac:dyDescent="0.3">
      <c r="A46" s="1" t="s">
        <v>97</v>
      </c>
      <c r="B46" s="1" t="s">
        <v>98</v>
      </c>
      <c r="C46" s="3">
        <v>30</v>
      </c>
      <c r="D46" s="1">
        <v>15</v>
      </c>
    </row>
    <row r="47" spans="1:4" x14ac:dyDescent="0.3">
      <c r="A47" s="1" t="s">
        <v>99</v>
      </c>
      <c r="B47" s="1" t="s">
        <v>100</v>
      </c>
      <c r="C47" s="3">
        <v>100</v>
      </c>
      <c r="D47" s="1">
        <v>10</v>
      </c>
    </row>
    <row r="48" spans="1:4" x14ac:dyDescent="0.3">
      <c r="A48" s="1" t="s">
        <v>101</v>
      </c>
      <c r="B48" s="1" t="s">
        <v>102</v>
      </c>
      <c r="C48" s="3">
        <v>20</v>
      </c>
      <c r="D48" s="1">
        <v>50</v>
      </c>
    </row>
    <row r="49" spans="1:4" x14ac:dyDescent="0.3">
      <c r="A49" s="1" t="s">
        <v>103</v>
      </c>
      <c r="B49" s="1" t="s">
        <v>104</v>
      </c>
      <c r="C49" s="3">
        <v>25</v>
      </c>
      <c r="D49" s="1">
        <v>40</v>
      </c>
    </row>
    <row r="50" spans="1:4" x14ac:dyDescent="0.3">
      <c r="A50" s="1" t="s">
        <v>105</v>
      </c>
      <c r="B50" s="1" t="s">
        <v>106</v>
      </c>
      <c r="C50" s="3">
        <v>15</v>
      </c>
      <c r="D50" s="1">
        <v>100</v>
      </c>
    </row>
    <row r="51" spans="1:4" x14ac:dyDescent="0.3">
      <c r="A51" s="1" t="s">
        <v>107</v>
      </c>
      <c r="B51" s="1" t="s">
        <v>108</v>
      </c>
      <c r="C51" s="3">
        <v>200</v>
      </c>
      <c r="D51" s="1">
        <v>5</v>
      </c>
    </row>
    <row r="52" spans="1:4" x14ac:dyDescent="0.3">
      <c r="A52" s="1" t="s">
        <v>109</v>
      </c>
      <c r="B52" s="1" t="s">
        <v>110</v>
      </c>
      <c r="C52" s="3">
        <v>100</v>
      </c>
      <c r="D52" s="1">
        <v>10</v>
      </c>
    </row>
    <row r="53" spans="1:4" x14ac:dyDescent="0.3">
      <c r="A53" s="1" t="s">
        <v>111</v>
      </c>
      <c r="B53" s="1" t="s">
        <v>112</v>
      </c>
      <c r="C53" s="3">
        <v>500</v>
      </c>
      <c r="D53" s="1">
        <v>5</v>
      </c>
    </row>
    <row r="54" spans="1:4" x14ac:dyDescent="0.3">
      <c r="A54" s="1" t="s">
        <v>113</v>
      </c>
      <c r="B54" s="1" t="s">
        <v>114</v>
      </c>
      <c r="C54" s="3">
        <v>800</v>
      </c>
      <c r="D54" s="1">
        <v>3</v>
      </c>
    </row>
    <row r="55" spans="1:4" x14ac:dyDescent="0.3">
      <c r="A55" s="1" t="s">
        <v>115</v>
      </c>
      <c r="B55" s="1" t="s">
        <v>116</v>
      </c>
      <c r="C55" s="3">
        <v>300</v>
      </c>
      <c r="D55" s="1">
        <v>8</v>
      </c>
    </row>
    <row r="56" spans="1:4" x14ac:dyDescent="0.3">
      <c r="A56" s="1" t="s">
        <v>117</v>
      </c>
      <c r="B56" s="1" t="s">
        <v>118</v>
      </c>
      <c r="C56" s="3">
        <v>400</v>
      </c>
      <c r="D56" s="1">
        <v>10</v>
      </c>
    </row>
    <row r="57" spans="1:4" x14ac:dyDescent="0.3">
      <c r="A57" s="1" t="s">
        <v>119</v>
      </c>
      <c r="B57" s="1" t="s">
        <v>120</v>
      </c>
      <c r="C57" s="3">
        <v>20</v>
      </c>
      <c r="D57" s="1">
        <v>30</v>
      </c>
    </row>
    <row r="58" spans="1:4" x14ac:dyDescent="0.3">
      <c r="A58" s="1" t="s">
        <v>121</v>
      </c>
      <c r="B58" s="1" t="s">
        <v>122</v>
      </c>
      <c r="C58" s="3">
        <v>50</v>
      </c>
      <c r="D58" s="1">
        <v>15</v>
      </c>
    </row>
    <row r="59" spans="1:4" x14ac:dyDescent="0.3">
      <c r="A59" s="1" t="s">
        <v>123</v>
      </c>
      <c r="B59" s="1" t="s">
        <v>124</v>
      </c>
      <c r="C59" s="3">
        <v>10</v>
      </c>
      <c r="D59" s="1">
        <v>40</v>
      </c>
    </row>
    <row r="60" spans="1:4" x14ac:dyDescent="0.3">
      <c r="A60" s="1" t="s">
        <v>125</v>
      </c>
      <c r="B60" s="1" t="s">
        <v>126</v>
      </c>
      <c r="C60" s="3">
        <v>5</v>
      </c>
      <c r="D60" s="1">
        <v>100</v>
      </c>
    </row>
    <row r="61" spans="1:4" x14ac:dyDescent="0.3">
      <c r="A61" s="1" t="s">
        <v>127</v>
      </c>
      <c r="B61" s="1" t="s">
        <v>128</v>
      </c>
      <c r="C61" s="3">
        <v>2</v>
      </c>
      <c r="D61" s="1">
        <v>200</v>
      </c>
    </row>
    <row r="62" spans="1:4" x14ac:dyDescent="0.3">
      <c r="A62" s="1" t="s">
        <v>129</v>
      </c>
      <c r="B62" s="1" t="s">
        <v>130</v>
      </c>
      <c r="C62" s="3">
        <v>1</v>
      </c>
      <c r="D62" s="1">
        <v>300</v>
      </c>
    </row>
    <row r="63" spans="1:4" x14ac:dyDescent="0.3">
      <c r="A63" s="1" t="s">
        <v>131</v>
      </c>
      <c r="B63" s="1" t="s">
        <v>132</v>
      </c>
      <c r="C63" s="3">
        <v>10</v>
      </c>
      <c r="D63" s="1">
        <v>50</v>
      </c>
    </row>
    <row r="64" spans="1:4" x14ac:dyDescent="0.3">
      <c r="A64" s="1" t="s">
        <v>133</v>
      </c>
      <c r="B64" s="1" t="s">
        <v>134</v>
      </c>
      <c r="C64" s="3">
        <v>15</v>
      </c>
      <c r="D64" s="1">
        <v>20</v>
      </c>
    </row>
    <row r="65" spans="1:4" x14ac:dyDescent="0.3">
      <c r="A65" s="1" t="s">
        <v>135</v>
      </c>
      <c r="B65" s="1" t="s">
        <v>136</v>
      </c>
      <c r="C65" s="3">
        <v>25</v>
      </c>
      <c r="D65" s="1">
        <v>15</v>
      </c>
    </row>
    <row r="66" spans="1:4" x14ac:dyDescent="0.3">
      <c r="A66" s="1" t="s">
        <v>137</v>
      </c>
      <c r="B66" s="1" t="s">
        <v>138</v>
      </c>
      <c r="C66" s="3">
        <v>50</v>
      </c>
      <c r="D66" s="1">
        <v>10</v>
      </c>
    </row>
    <row r="67" spans="1:4" x14ac:dyDescent="0.3">
      <c r="A67" s="1" t="s">
        <v>139</v>
      </c>
      <c r="B67" s="1" t="s">
        <v>140</v>
      </c>
      <c r="C67" s="3">
        <v>100</v>
      </c>
      <c r="D67" s="1">
        <v>5</v>
      </c>
    </row>
    <row r="68" spans="1:4" x14ac:dyDescent="0.3">
      <c r="A68" s="1" t="s">
        <v>141</v>
      </c>
      <c r="B68" s="1" t="s">
        <v>142</v>
      </c>
      <c r="C68" s="3">
        <v>30</v>
      </c>
      <c r="D68" s="1">
        <v>20</v>
      </c>
    </row>
    <row r="69" spans="1:4" x14ac:dyDescent="0.3">
      <c r="A69" s="1" t="s">
        <v>143</v>
      </c>
      <c r="B69" s="1" t="s">
        <v>144</v>
      </c>
      <c r="C69" s="3">
        <v>150</v>
      </c>
      <c r="D69" s="1">
        <v>8</v>
      </c>
    </row>
    <row r="70" spans="1:4" x14ac:dyDescent="0.3">
      <c r="A70" s="1" t="s">
        <v>145</v>
      </c>
      <c r="B70" s="1" t="s">
        <v>146</v>
      </c>
      <c r="C70" s="3">
        <v>200</v>
      </c>
      <c r="D70" s="1">
        <v>5</v>
      </c>
    </row>
    <row r="71" spans="1:4" x14ac:dyDescent="0.3">
      <c r="A71" s="1" t="s">
        <v>147</v>
      </c>
      <c r="B71" s="1" t="s">
        <v>148</v>
      </c>
      <c r="C71" s="3">
        <v>300</v>
      </c>
      <c r="D71" s="1">
        <v>3</v>
      </c>
    </row>
    <row r="72" spans="1:4" x14ac:dyDescent="0.3">
      <c r="A72" s="1" t="s">
        <v>149</v>
      </c>
      <c r="B72" s="1" t="s">
        <v>150</v>
      </c>
      <c r="C72" s="3">
        <v>50</v>
      </c>
      <c r="D72" s="1">
        <v>10</v>
      </c>
    </row>
    <row r="73" spans="1:4" x14ac:dyDescent="0.3">
      <c r="A73" s="1" t="s">
        <v>151</v>
      </c>
      <c r="B73" s="1" t="s">
        <v>152</v>
      </c>
      <c r="C73" s="3">
        <v>100</v>
      </c>
      <c r="D73" s="1">
        <v>5</v>
      </c>
    </row>
    <row r="74" spans="1:4" x14ac:dyDescent="0.3">
      <c r="A74" s="1" t="s">
        <v>153</v>
      </c>
      <c r="B74" s="1" t="s">
        <v>154</v>
      </c>
      <c r="C74" s="3">
        <v>20</v>
      </c>
      <c r="D74" s="1">
        <v>30</v>
      </c>
    </row>
    <row r="75" spans="1:4" x14ac:dyDescent="0.3">
      <c r="A75" s="1" t="s">
        <v>155</v>
      </c>
      <c r="B75" s="1" t="s">
        <v>156</v>
      </c>
      <c r="C75" s="3">
        <v>10</v>
      </c>
      <c r="D75" s="1">
        <v>50</v>
      </c>
    </row>
    <row r="76" spans="1:4" x14ac:dyDescent="0.3">
      <c r="A76" s="1" t="s">
        <v>157</v>
      </c>
      <c r="B76" s="1" t="s">
        <v>158</v>
      </c>
      <c r="C76" s="3">
        <v>15</v>
      </c>
      <c r="D76" s="1">
        <v>40</v>
      </c>
    </row>
    <row r="77" spans="1:4" x14ac:dyDescent="0.3">
      <c r="A77" s="1" t="s">
        <v>159</v>
      </c>
      <c r="B77" s="1" t="s">
        <v>160</v>
      </c>
      <c r="C77" s="3">
        <v>25</v>
      </c>
      <c r="D77" s="1">
        <v>20</v>
      </c>
    </row>
    <row r="78" spans="1:4" x14ac:dyDescent="0.3">
      <c r="A78" s="1" t="s">
        <v>161</v>
      </c>
      <c r="B78" s="1" t="s">
        <v>162</v>
      </c>
      <c r="C78" s="3">
        <v>50</v>
      </c>
      <c r="D78" s="1">
        <v>10</v>
      </c>
    </row>
    <row r="79" spans="1:4" x14ac:dyDescent="0.3">
      <c r="A79" s="1" t="s">
        <v>163</v>
      </c>
      <c r="B79" s="1" t="s">
        <v>164</v>
      </c>
      <c r="C79" s="3">
        <v>30</v>
      </c>
      <c r="D79" s="1">
        <v>25</v>
      </c>
    </row>
    <row r="80" spans="1:4" x14ac:dyDescent="0.3">
      <c r="A80" s="1" t="s">
        <v>165</v>
      </c>
      <c r="B80" s="1" t="s">
        <v>166</v>
      </c>
      <c r="C80" s="3">
        <v>40</v>
      </c>
      <c r="D80" s="1">
        <v>15</v>
      </c>
    </row>
    <row r="81" spans="1:4" x14ac:dyDescent="0.3">
      <c r="A81" s="1" t="s">
        <v>167</v>
      </c>
      <c r="B81" s="1" t="s">
        <v>168</v>
      </c>
      <c r="C81" s="3">
        <v>100</v>
      </c>
      <c r="D81" s="1">
        <v>10</v>
      </c>
    </row>
    <row r="82" spans="1:4" x14ac:dyDescent="0.3">
      <c r="A82" s="1" t="s">
        <v>169</v>
      </c>
      <c r="B82" s="1" t="s">
        <v>170</v>
      </c>
      <c r="C82" s="3">
        <v>50</v>
      </c>
      <c r="D82" s="1">
        <v>20</v>
      </c>
    </row>
    <row r="83" spans="1:4" x14ac:dyDescent="0.3">
      <c r="A83" s="1" t="s">
        <v>171</v>
      </c>
      <c r="B83" s="1" t="s">
        <v>172</v>
      </c>
      <c r="C83" s="3">
        <v>30</v>
      </c>
      <c r="D83" s="1">
        <v>25</v>
      </c>
    </row>
    <row r="84" spans="1:4" x14ac:dyDescent="0.3">
      <c r="A84" s="1" t="s">
        <v>173</v>
      </c>
      <c r="B84" s="1" t="s">
        <v>174</v>
      </c>
      <c r="C84" s="3">
        <v>10</v>
      </c>
      <c r="D84" s="1">
        <v>50</v>
      </c>
    </row>
    <row r="85" spans="1:4" x14ac:dyDescent="0.3">
      <c r="A85" s="1" t="s">
        <v>175</v>
      </c>
      <c r="B85" s="1" t="s">
        <v>176</v>
      </c>
      <c r="C85" s="3">
        <v>20</v>
      </c>
      <c r="D85" s="1">
        <v>30</v>
      </c>
    </row>
    <row r="86" spans="1:4" x14ac:dyDescent="0.3">
      <c r="A86" s="1" t="s">
        <v>177</v>
      </c>
      <c r="B86" s="1" t="s">
        <v>178</v>
      </c>
      <c r="C86" s="3">
        <v>50</v>
      </c>
      <c r="D86" s="1">
        <v>10</v>
      </c>
    </row>
    <row r="87" spans="1:4" x14ac:dyDescent="0.3">
      <c r="A87" s="1" t="s">
        <v>179</v>
      </c>
      <c r="B87" s="1" t="s">
        <v>180</v>
      </c>
      <c r="C87" s="3">
        <v>200</v>
      </c>
      <c r="D87" s="1">
        <v>5</v>
      </c>
    </row>
    <row r="88" spans="1:4" x14ac:dyDescent="0.3">
      <c r="A88" s="1" t="s">
        <v>181</v>
      </c>
      <c r="B88" s="1" t="s">
        <v>182</v>
      </c>
      <c r="C88" s="3">
        <v>300</v>
      </c>
      <c r="D88" s="1">
        <v>3</v>
      </c>
    </row>
    <row r="89" spans="1:4" x14ac:dyDescent="0.3">
      <c r="A89" s="1" t="s">
        <v>183</v>
      </c>
      <c r="B89" s="1" t="s">
        <v>184</v>
      </c>
      <c r="C89" s="3">
        <v>100</v>
      </c>
      <c r="D89" s="1">
        <v>10</v>
      </c>
    </row>
    <row r="90" spans="1:4" x14ac:dyDescent="0.3">
      <c r="A90" s="1" t="s">
        <v>185</v>
      </c>
      <c r="B90" s="1" t="s">
        <v>186</v>
      </c>
      <c r="C90" s="3">
        <v>200</v>
      </c>
      <c r="D90" s="1">
        <v>5</v>
      </c>
    </row>
    <row r="91" spans="1:4" x14ac:dyDescent="0.3">
      <c r="A91" s="1" t="s">
        <v>187</v>
      </c>
      <c r="B91" s="1" t="s">
        <v>188</v>
      </c>
      <c r="C91" s="3">
        <v>150</v>
      </c>
      <c r="D91" s="1">
        <v>8</v>
      </c>
    </row>
    <row r="92" spans="1:4" x14ac:dyDescent="0.3">
      <c r="A92" s="1" t="s">
        <v>189</v>
      </c>
      <c r="B92" s="1" t="s">
        <v>190</v>
      </c>
      <c r="C92" s="3">
        <v>50</v>
      </c>
      <c r="D92" s="1">
        <v>15</v>
      </c>
    </row>
    <row r="93" spans="1:4" x14ac:dyDescent="0.3">
      <c r="A93" s="1" t="s">
        <v>191</v>
      </c>
      <c r="B93" s="1" t="s">
        <v>192</v>
      </c>
      <c r="C93" s="3">
        <v>100</v>
      </c>
      <c r="D93" s="1">
        <v>5</v>
      </c>
    </row>
    <row r="94" spans="1:4" x14ac:dyDescent="0.3">
      <c r="A94" s="1" t="s">
        <v>193</v>
      </c>
      <c r="B94" s="1" t="s">
        <v>194</v>
      </c>
      <c r="C94" s="3">
        <v>200</v>
      </c>
      <c r="D94" s="1">
        <v>3</v>
      </c>
    </row>
    <row r="95" spans="1:4" x14ac:dyDescent="0.3">
      <c r="A95" s="1" t="s">
        <v>195</v>
      </c>
      <c r="B95" s="1" t="s">
        <v>196</v>
      </c>
      <c r="C95" s="3">
        <v>20</v>
      </c>
      <c r="D95" s="1">
        <v>30</v>
      </c>
    </row>
    <row r="96" spans="1:4" x14ac:dyDescent="0.3">
      <c r="A96" s="1" t="s">
        <v>197</v>
      </c>
      <c r="B96" s="1" t="s">
        <v>198</v>
      </c>
      <c r="C96" s="3">
        <v>50</v>
      </c>
      <c r="D96" s="1">
        <v>10</v>
      </c>
    </row>
    <row r="97" spans="1:4" x14ac:dyDescent="0.3">
      <c r="A97" s="1" t="s">
        <v>199</v>
      </c>
      <c r="B97" s="1" t="s">
        <v>200</v>
      </c>
      <c r="C97" s="3">
        <v>30</v>
      </c>
      <c r="D97" s="1">
        <v>20</v>
      </c>
    </row>
    <row r="98" spans="1:4" x14ac:dyDescent="0.3">
      <c r="A98" s="1" t="s">
        <v>201</v>
      </c>
      <c r="B98" s="1" t="s">
        <v>202</v>
      </c>
      <c r="C98" s="3">
        <v>10</v>
      </c>
      <c r="D98" s="1">
        <v>50</v>
      </c>
    </row>
    <row r="99" spans="1:4" x14ac:dyDescent="0.3">
      <c r="A99" s="1" t="s">
        <v>203</v>
      </c>
      <c r="B99" s="1" t="s">
        <v>204</v>
      </c>
      <c r="C99" s="3">
        <v>15</v>
      </c>
      <c r="D99" s="1">
        <v>40</v>
      </c>
    </row>
    <row r="100" spans="1:4" x14ac:dyDescent="0.3">
      <c r="A100" s="1" t="s">
        <v>205</v>
      </c>
      <c r="B100" s="1" t="s">
        <v>206</v>
      </c>
      <c r="C100" s="3">
        <v>300</v>
      </c>
      <c r="D100" s="1">
        <v>3</v>
      </c>
    </row>
    <row r="101" spans="1:4" x14ac:dyDescent="0.3">
      <c r="A101" s="1" t="s">
        <v>207</v>
      </c>
      <c r="B101" s="1" t="s">
        <v>208</v>
      </c>
      <c r="C101" s="3">
        <v>400</v>
      </c>
      <c r="D101" s="1">
        <v>2</v>
      </c>
    </row>
  </sheetData>
  <mergeCells count="1">
    <mergeCell ref="G7: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C742-27C8-49AE-BD22-E230F1F15A91}">
  <dimension ref="A1:H101"/>
  <sheetViews>
    <sheetView workbookViewId="0">
      <selection activeCell="G7" sqref="G7:H17"/>
    </sheetView>
  </sheetViews>
  <sheetFormatPr baseColWidth="10" defaultColWidth="11.44140625" defaultRowHeight="14.4" x14ac:dyDescent="0.3"/>
  <cols>
    <col min="1" max="1" width="12.33203125" bestFit="1" customWidth="1"/>
    <col min="2" max="2" width="22.33203125" bestFit="1" customWidth="1"/>
    <col min="3" max="3" width="9.44140625" bestFit="1" customWidth="1"/>
    <col min="4" max="4" width="16.33203125" bestFit="1" customWidth="1"/>
    <col min="7" max="7" width="29.6640625" bestFit="1" customWidth="1"/>
    <col min="8" max="8" width="35.88671875" customWidth="1"/>
  </cols>
  <sheetData>
    <row r="1" spans="1:8" x14ac:dyDescent="0.3">
      <c r="A1" s="2" t="s">
        <v>0</v>
      </c>
      <c r="B1" s="2" t="s">
        <v>1</v>
      </c>
      <c r="C1" s="2" t="s">
        <v>2</v>
      </c>
      <c r="D1" s="2" t="s">
        <v>3</v>
      </c>
    </row>
    <row r="2" spans="1:8" ht="21" x14ac:dyDescent="0.4">
      <c r="A2" s="1" t="s">
        <v>4</v>
      </c>
      <c r="B2" s="1" t="s">
        <v>5</v>
      </c>
      <c r="C2" s="3">
        <v>1.5</v>
      </c>
      <c r="D2" s="1">
        <v>100</v>
      </c>
      <c r="G2" s="4" t="s">
        <v>6</v>
      </c>
      <c r="H2" s="5" t="s">
        <v>4</v>
      </c>
    </row>
    <row r="3" spans="1:8" ht="21" x14ac:dyDescent="0.4">
      <c r="A3" s="1" t="s">
        <v>8</v>
      </c>
      <c r="B3" s="1" t="s">
        <v>9</v>
      </c>
      <c r="C3" s="3">
        <v>3</v>
      </c>
      <c r="D3" s="1">
        <v>50</v>
      </c>
      <c r="G3" s="4" t="s">
        <v>2</v>
      </c>
      <c r="H3" s="4" t="s">
        <v>3</v>
      </c>
    </row>
    <row r="4" spans="1:8" ht="21" x14ac:dyDescent="0.4">
      <c r="A4" s="1" t="s">
        <v>10</v>
      </c>
      <c r="B4" s="1" t="s">
        <v>11</v>
      </c>
      <c r="C4" s="3">
        <v>0.75</v>
      </c>
      <c r="D4" s="1">
        <v>200</v>
      </c>
      <c r="G4" s="6">
        <f>VLOOKUP($H2,$A2:$D101,3)</f>
        <v>1.5</v>
      </c>
      <c r="H4" s="6">
        <f>VLOOKUP($H2,$A2:$D101,3)</f>
        <v>1.5</v>
      </c>
    </row>
    <row r="5" spans="1:8" x14ac:dyDescent="0.3">
      <c r="A5" s="1" t="s">
        <v>14</v>
      </c>
      <c r="B5" s="1" t="s">
        <v>15</v>
      </c>
      <c r="C5" s="3">
        <v>2</v>
      </c>
      <c r="D5" s="1">
        <v>75</v>
      </c>
    </row>
    <row r="6" spans="1:8" ht="15" thickBot="1" x14ac:dyDescent="0.35">
      <c r="A6" s="1" t="s">
        <v>16</v>
      </c>
      <c r="B6" s="1" t="s">
        <v>17</v>
      </c>
      <c r="C6" s="3">
        <v>1</v>
      </c>
      <c r="D6" s="1">
        <v>150</v>
      </c>
    </row>
    <row r="7" spans="1:8" x14ac:dyDescent="0.3">
      <c r="A7" s="1" t="s">
        <v>18</v>
      </c>
      <c r="B7" s="1" t="s">
        <v>19</v>
      </c>
      <c r="C7" s="3">
        <v>2.5</v>
      </c>
      <c r="D7" s="1">
        <v>80</v>
      </c>
      <c r="G7" s="7" t="s">
        <v>20</v>
      </c>
      <c r="H7" s="8"/>
    </row>
    <row r="8" spans="1:8" x14ac:dyDescent="0.3">
      <c r="A8" s="1" t="s">
        <v>21</v>
      </c>
      <c r="B8" s="1" t="s">
        <v>22</v>
      </c>
      <c r="C8" s="3">
        <v>5</v>
      </c>
      <c r="D8" s="1">
        <v>40</v>
      </c>
      <c r="G8" s="9"/>
      <c r="H8" s="10"/>
    </row>
    <row r="9" spans="1:8" x14ac:dyDescent="0.3">
      <c r="A9" s="1" t="s">
        <v>23</v>
      </c>
      <c r="B9" s="1" t="s">
        <v>24</v>
      </c>
      <c r="C9" s="3">
        <v>7.5</v>
      </c>
      <c r="D9" s="1">
        <v>30</v>
      </c>
      <c r="G9" s="9"/>
      <c r="H9" s="10"/>
    </row>
    <row r="10" spans="1:8" x14ac:dyDescent="0.3">
      <c r="A10" s="1" t="s">
        <v>25</v>
      </c>
      <c r="B10" s="1" t="s">
        <v>26</v>
      </c>
      <c r="C10" s="3">
        <v>6</v>
      </c>
      <c r="D10" s="1">
        <v>25</v>
      </c>
      <c r="G10" s="9"/>
      <c r="H10" s="10"/>
    </row>
    <row r="11" spans="1:8" x14ac:dyDescent="0.3">
      <c r="A11" s="1" t="s">
        <v>27</v>
      </c>
      <c r="B11" s="1" t="s">
        <v>28</v>
      </c>
      <c r="C11" s="3">
        <v>1.25</v>
      </c>
      <c r="D11" s="1">
        <v>120</v>
      </c>
      <c r="G11" s="9"/>
      <c r="H11" s="10"/>
    </row>
    <row r="12" spans="1:8" x14ac:dyDescent="0.3">
      <c r="A12" s="1" t="s">
        <v>29</v>
      </c>
      <c r="B12" s="1" t="s">
        <v>30</v>
      </c>
      <c r="C12" s="3">
        <v>2</v>
      </c>
      <c r="D12" s="1">
        <v>90</v>
      </c>
      <c r="G12" s="9"/>
      <c r="H12" s="10"/>
    </row>
    <row r="13" spans="1:8" x14ac:dyDescent="0.3">
      <c r="A13" s="1" t="s">
        <v>31</v>
      </c>
      <c r="B13" s="1" t="s">
        <v>32</v>
      </c>
      <c r="C13" s="3">
        <v>10</v>
      </c>
      <c r="D13" s="1">
        <v>20</v>
      </c>
      <c r="G13" s="9"/>
      <c r="H13" s="10"/>
    </row>
    <row r="14" spans="1:8" x14ac:dyDescent="0.3">
      <c r="A14" s="1" t="s">
        <v>33</v>
      </c>
      <c r="B14" s="1" t="s">
        <v>34</v>
      </c>
      <c r="C14" s="3">
        <v>3.5</v>
      </c>
      <c r="D14" s="1">
        <v>60</v>
      </c>
      <c r="G14" s="9"/>
      <c r="H14" s="10"/>
    </row>
    <row r="15" spans="1:8" x14ac:dyDescent="0.3">
      <c r="A15" s="1" t="s">
        <v>35</v>
      </c>
      <c r="B15" s="1" t="s">
        <v>36</v>
      </c>
      <c r="C15" s="3">
        <v>4</v>
      </c>
      <c r="D15" s="1">
        <v>70</v>
      </c>
      <c r="G15" s="9"/>
      <c r="H15" s="10"/>
    </row>
    <row r="16" spans="1:8" x14ac:dyDescent="0.3">
      <c r="A16" s="1" t="s">
        <v>37</v>
      </c>
      <c r="B16" s="1" t="s">
        <v>38</v>
      </c>
      <c r="C16" s="3">
        <v>0.5</v>
      </c>
      <c r="D16" s="1">
        <v>500</v>
      </c>
      <c r="G16" s="9"/>
      <c r="H16" s="10"/>
    </row>
    <row r="17" spans="1:8" ht="15" thickBot="1" x14ac:dyDescent="0.35">
      <c r="A17" s="1" t="s">
        <v>39</v>
      </c>
      <c r="B17" s="1" t="s">
        <v>40</v>
      </c>
      <c r="C17" s="3">
        <v>5</v>
      </c>
      <c r="D17" s="1">
        <v>1000</v>
      </c>
      <c r="G17" s="11"/>
      <c r="H17" s="12"/>
    </row>
    <row r="18" spans="1:8" x14ac:dyDescent="0.3">
      <c r="A18" s="1" t="s">
        <v>41</v>
      </c>
      <c r="B18" s="1" t="s">
        <v>42</v>
      </c>
      <c r="C18" s="3">
        <v>10</v>
      </c>
      <c r="D18" s="1">
        <v>500</v>
      </c>
    </row>
    <row r="19" spans="1:8" x14ac:dyDescent="0.3">
      <c r="A19" s="1" t="s">
        <v>43</v>
      </c>
      <c r="B19" s="1" t="s">
        <v>44</v>
      </c>
      <c r="C19" s="3">
        <v>2</v>
      </c>
      <c r="D19" s="1">
        <v>300</v>
      </c>
    </row>
    <row r="20" spans="1:8" x14ac:dyDescent="0.3">
      <c r="A20" s="1" t="s">
        <v>45</v>
      </c>
      <c r="B20" s="1" t="s">
        <v>46</v>
      </c>
      <c r="C20" s="3">
        <v>1</v>
      </c>
      <c r="D20" s="1">
        <v>400</v>
      </c>
    </row>
    <row r="21" spans="1:8" x14ac:dyDescent="0.3">
      <c r="A21" s="1" t="s">
        <v>47</v>
      </c>
      <c r="B21" s="1" t="s">
        <v>48</v>
      </c>
      <c r="C21" s="3">
        <v>50</v>
      </c>
      <c r="D21" s="1">
        <v>10</v>
      </c>
    </row>
    <row r="22" spans="1:8" x14ac:dyDescent="0.3">
      <c r="A22" s="1" t="s">
        <v>49</v>
      </c>
      <c r="B22" s="1" t="s">
        <v>50</v>
      </c>
      <c r="C22" s="3">
        <v>0.75</v>
      </c>
      <c r="D22" s="1">
        <v>1000</v>
      </c>
    </row>
    <row r="23" spans="1:8" x14ac:dyDescent="0.3">
      <c r="A23" s="1" t="s">
        <v>51</v>
      </c>
      <c r="B23" s="1" t="s">
        <v>52</v>
      </c>
      <c r="C23" s="3">
        <v>1.5</v>
      </c>
      <c r="D23" s="1">
        <v>500</v>
      </c>
    </row>
    <row r="24" spans="1:8" x14ac:dyDescent="0.3">
      <c r="A24" s="1" t="s">
        <v>53</v>
      </c>
      <c r="B24" s="1" t="s">
        <v>54</v>
      </c>
      <c r="C24" s="3">
        <v>1.25</v>
      </c>
      <c r="D24" s="1">
        <v>150</v>
      </c>
    </row>
    <row r="25" spans="1:8" x14ac:dyDescent="0.3">
      <c r="A25" s="1" t="s">
        <v>55</v>
      </c>
      <c r="B25" s="1" t="s">
        <v>56</v>
      </c>
      <c r="C25" s="3">
        <v>3</v>
      </c>
      <c r="D25" s="1">
        <v>80</v>
      </c>
    </row>
    <row r="26" spans="1:8" x14ac:dyDescent="0.3">
      <c r="A26" s="1" t="s">
        <v>57</v>
      </c>
      <c r="B26" s="1" t="s">
        <v>58</v>
      </c>
      <c r="C26" s="3">
        <v>2</v>
      </c>
      <c r="D26" s="1">
        <v>100</v>
      </c>
    </row>
    <row r="27" spans="1:8" x14ac:dyDescent="0.3">
      <c r="A27" s="1" t="s">
        <v>59</v>
      </c>
      <c r="B27" s="1" t="s">
        <v>60</v>
      </c>
      <c r="C27" s="3">
        <v>15</v>
      </c>
      <c r="D27" s="1">
        <v>25</v>
      </c>
    </row>
    <row r="28" spans="1:8" x14ac:dyDescent="0.3">
      <c r="A28" s="1" t="s">
        <v>61</v>
      </c>
      <c r="B28" s="1" t="s">
        <v>62</v>
      </c>
      <c r="C28" s="3">
        <v>50</v>
      </c>
      <c r="D28" s="1">
        <v>5</v>
      </c>
    </row>
    <row r="29" spans="1:8" x14ac:dyDescent="0.3">
      <c r="A29" s="1" t="s">
        <v>63</v>
      </c>
      <c r="B29" s="1" t="s">
        <v>64</v>
      </c>
      <c r="C29" s="3">
        <v>2.5</v>
      </c>
      <c r="D29" s="1">
        <v>200</v>
      </c>
    </row>
    <row r="30" spans="1:8" x14ac:dyDescent="0.3">
      <c r="A30" s="1" t="s">
        <v>65</v>
      </c>
      <c r="B30" s="1" t="s">
        <v>66</v>
      </c>
      <c r="C30" s="3">
        <v>1</v>
      </c>
      <c r="D30" s="1">
        <v>300</v>
      </c>
    </row>
    <row r="31" spans="1:8" x14ac:dyDescent="0.3">
      <c r="A31" s="1" t="s">
        <v>67</v>
      </c>
      <c r="B31" s="1" t="s">
        <v>68</v>
      </c>
      <c r="C31" s="3">
        <v>10</v>
      </c>
      <c r="D31" s="1">
        <v>50</v>
      </c>
    </row>
    <row r="32" spans="1:8" x14ac:dyDescent="0.3">
      <c r="A32" s="1" t="s">
        <v>69</v>
      </c>
      <c r="B32" s="1" t="s">
        <v>70</v>
      </c>
      <c r="C32" s="3">
        <v>15</v>
      </c>
      <c r="D32" s="1">
        <v>40</v>
      </c>
    </row>
    <row r="33" spans="1:4" x14ac:dyDescent="0.3">
      <c r="A33" s="1" t="s">
        <v>71</v>
      </c>
      <c r="B33" s="1" t="s">
        <v>72</v>
      </c>
      <c r="C33" s="3">
        <v>25</v>
      </c>
      <c r="D33" s="1">
        <v>30</v>
      </c>
    </row>
    <row r="34" spans="1:4" x14ac:dyDescent="0.3">
      <c r="A34" s="1" t="s">
        <v>73</v>
      </c>
      <c r="B34" s="1" t="s">
        <v>74</v>
      </c>
      <c r="C34" s="3">
        <v>50</v>
      </c>
      <c r="D34" s="1">
        <v>20</v>
      </c>
    </row>
    <row r="35" spans="1:4" x14ac:dyDescent="0.3">
      <c r="A35" s="1" t="s">
        <v>75</v>
      </c>
      <c r="B35" s="1" t="s">
        <v>76</v>
      </c>
      <c r="C35" s="3">
        <v>100</v>
      </c>
      <c r="D35" s="1">
        <v>10</v>
      </c>
    </row>
    <row r="36" spans="1:4" x14ac:dyDescent="0.3">
      <c r="A36" s="1" t="s">
        <v>77</v>
      </c>
      <c r="B36" s="1" t="s">
        <v>78</v>
      </c>
      <c r="C36" s="3">
        <v>8</v>
      </c>
      <c r="D36" s="1">
        <v>60</v>
      </c>
    </row>
    <row r="37" spans="1:4" x14ac:dyDescent="0.3">
      <c r="A37" s="1" t="s">
        <v>79</v>
      </c>
      <c r="B37" s="1" t="s">
        <v>80</v>
      </c>
      <c r="C37" s="3">
        <v>5</v>
      </c>
      <c r="D37" s="1">
        <v>70</v>
      </c>
    </row>
    <row r="38" spans="1:4" x14ac:dyDescent="0.3">
      <c r="A38" s="1" t="s">
        <v>81</v>
      </c>
      <c r="B38" s="1" t="s">
        <v>82</v>
      </c>
      <c r="C38" s="3">
        <v>3</v>
      </c>
      <c r="D38" s="1">
        <v>100</v>
      </c>
    </row>
    <row r="39" spans="1:4" x14ac:dyDescent="0.3">
      <c r="A39" s="1" t="s">
        <v>83</v>
      </c>
      <c r="B39" s="1" t="s">
        <v>84</v>
      </c>
      <c r="C39" s="3">
        <v>10</v>
      </c>
      <c r="D39" s="1">
        <v>40</v>
      </c>
    </row>
    <row r="40" spans="1:4" x14ac:dyDescent="0.3">
      <c r="A40" s="1" t="s">
        <v>85</v>
      </c>
      <c r="B40" s="1" t="s">
        <v>86</v>
      </c>
      <c r="C40" s="3">
        <v>15</v>
      </c>
      <c r="D40" s="1">
        <v>30</v>
      </c>
    </row>
    <row r="41" spans="1:4" x14ac:dyDescent="0.3">
      <c r="A41" s="1" t="s">
        <v>87</v>
      </c>
      <c r="B41" s="1" t="s">
        <v>88</v>
      </c>
      <c r="C41" s="3">
        <v>5</v>
      </c>
      <c r="D41" s="1">
        <v>80</v>
      </c>
    </row>
    <row r="42" spans="1:4" x14ac:dyDescent="0.3">
      <c r="A42" s="1" t="s">
        <v>89</v>
      </c>
      <c r="B42" s="1" t="s">
        <v>90</v>
      </c>
      <c r="C42" s="3">
        <v>20</v>
      </c>
      <c r="D42" s="1">
        <v>25</v>
      </c>
    </row>
    <row r="43" spans="1:4" x14ac:dyDescent="0.3">
      <c r="A43" s="1" t="s">
        <v>91</v>
      </c>
      <c r="B43" s="1" t="s">
        <v>92</v>
      </c>
      <c r="C43" s="3">
        <v>10</v>
      </c>
      <c r="D43" s="1">
        <v>50</v>
      </c>
    </row>
    <row r="44" spans="1:4" x14ac:dyDescent="0.3">
      <c r="A44" s="1" t="s">
        <v>93</v>
      </c>
      <c r="B44" s="1" t="s">
        <v>94</v>
      </c>
      <c r="C44" s="3">
        <v>20</v>
      </c>
      <c r="D44" s="1">
        <v>30</v>
      </c>
    </row>
    <row r="45" spans="1:4" x14ac:dyDescent="0.3">
      <c r="A45" s="1" t="s">
        <v>95</v>
      </c>
      <c r="B45" s="1" t="s">
        <v>96</v>
      </c>
      <c r="C45" s="3">
        <v>25</v>
      </c>
      <c r="D45" s="1">
        <v>20</v>
      </c>
    </row>
    <row r="46" spans="1:4" x14ac:dyDescent="0.3">
      <c r="A46" s="1" t="s">
        <v>97</v>
      </c>
      <c r="B46" s="1" t="s">
        <v>98</v>
      </c>
      <c r="C46" s="3">
        <v>30</v>
      </c>
      <c r="D46" s="1">
        <v>15</v>
      </c>
    </row>
    <row r="47" spans="1:4" x14ac:dyDescent="0.3">
      <c r="A47" s="1" t="s">
        <v>99</v>
      </c>
      <c r="B47" s="1" t="s">
        <v>100</v>
      </c>
      <c r="C47" s="3">
        <v>100</v>
      </c>
      <c r="D47" s="1">
        <v>10</v>
      </c>
    </row>
    <row r="48" spans="1:4" x14ac:dyDescent="0.3">
      <c r="A48" s="1" t="s">
        <v>101</v>
      </c>
      <c r="B48" s="1" t="s">
        <v>102</v>
      </c>
      <c r="C48" s="3">
        <v>20</v>
      </c>
      <c r="D48" s="1">
        <v>50</v>
      </c>
    </row>
    <row r="49" spans="1:4" x14ac:dyDescent="0.3">
      <c r="A49" s="1" t="s">
        <v>103</v>
      </c>
      <c r="B49" s="1" t="s">
        <v>104</v>
      </c>
      <c r="C49" s="3">
        <v>25</v>
      </c>
      <c r="D49" s="1">
        <v>40</v>
      </c>
    </row>
    <row r="50" spans="1:4" x14ac:dyDescent="0.3">
      <c r="A50" s="1" t="s">
        <v>105</v>
      </c>
      <c r="B50" s="1" t="s">
        <v>106</v>
      </c>
      <c r="C50" s="3">
        <v>15</v>
      </c>
      <c r="D50" s="1">
        <v>100</v>
      </c>
    </row>
    <row r="51" spans="1:4" x14ac:dyDescent="0.3">
      <c r="A51" s="1" t="s">
        <v>107</v>
      </c>
      <c r="B51" s="1" t="s">
        <v>108</v>
      </c>
      <c r="C51" s="3">
        <v>200</v>
      </c>
      <c r="D51" s="1">
        <v>5</v>
      </c>
    </row>
    <row r="52" spans="1:4" x14ac:dyDescent="0.3">
      <c r="A52" s="1" t="s">
        <v>109</v>
      </c>
      <c r="B52" s="1" t="s">
        <v>110</v>
      </c>
      <c r="C52" s="3">
        <v>100</v>
      </c>
      <c r="D52" s="1">
        <v>10</v>
      </c>
    </row>
    <row r="53" spans="1:4" x14ac:dyDescent="0.3">
      <c r="A53" s="1" t="s">
        <v>111</v>
      </c>
      <c r="B53" s="1" t="s">
        <v>112</v>
      </c>
      <c r="C53" s="3">
        <v>500</v>
      </c>
      <c r="D53" s="1">
        <v>5</v>
      </c>
    </row>
    <row r="54" spans="1:4" x14ac:dyDescent="0.3">
      <c r="A54" s="1" t="s">
        <v>113</v>
      </c>
      <c r="B54" s="1" t="s">
        <v>114</v>
      </c>
      <c r="C54" s="3">
        <v>800</v>
      </c>
      <c r="D54" s="1">
        <v>3</v>
      </c>
    </row>
    <row r="55" spans="1:4" x14ac:dyDescent="0.3">
      <c r="A55" s="1" t="s">
        <v>115</v>
      </c>
      <c r="B55" s="1" t="s">
        <v>116</v>
      </c>
      <c r="C55" s="3">
        <v>300</v>
      </c>
      <c r="D55" s="1">
        <v>8</v>
      </c>
    </row>
    <row r="56" spans="1:4" x14ac:dyDescent="0.3">
      <c r="A56" s="1" t="s">
        <v>117</v>
      </c>
      <c r="B56" s="1" t="s">
        <v>118</v>
      </c>
      <c r="C56" s="3">
        <v>400</v>
      </c>
      <c r="D56" s="1">
        <v>10</v>
      </c>
    </row>
    <row r="57" spans="1:4" x14ac:dyDescent="0.3">
      <c r="A57" s="1" t="s">
        <v>119</v>
      </c>
      <c r="B57" s="1" t="s">
        <v>120</v>
      </c>
      <c r="C57" s="3">
        <v>20</v>
      </c>
      <c r="D57" s="1">
        <v>30</v>
      </c>
    </row>
    <row r="58" spans="1:4" x14ac:dyDescent="0.3">
      <c r="A58" s="1" t="s">
        <v>121</v>
      </c>
      <c r="B58" s="1" t="s">
        <v>122</v>
      </c>
      <c r="C58" s="3">
        <v>50</v>
      </c>
      <c r="D58" s="1">
        <v>15</v>
      </c>
    </row>
    <row r="59" spans="1:4" x14ac:dyDescent="0.3">
      <c r="A59" s="1" t="s">
        <v>123</v>
      </c>
      <c r="B59" s="1" t="s">
        <v>124</v>
      </c>
      <c r="C59" s="3">
        <v>10</v>
      </c>
      <c r="D59" s="1">
        <v>40</v>
      </c>
    </row>
    <row r="60" spans="1:4" x14ac:dyDescent="0.3">
      <c r="A60" s="1" t="s">
        <v>125</v>
      </c>
      <c r="B60" s="1" t="s">
        <v>126</v>
      </c>
      <c r="C60" s="3">
        <v>5</v>
      </c>
      <c r="D60" s="1">
        <v>100</v>
      </c>
    </row>
    <row r="61" spans="1:4" x14ac:dyDescent="0.3">
      <c r="A61" s="1" t="s">
        <v>127</v>
      </c>
      <c r="B61" s="1" t="s">
        <v>128</v>
      </c>
      <c r="C61" s="3">
        <v>2</v>
      </c>
      <c r="D61" s="1">
        <v>200</v>
      </c>
    </row>
    <row r="62" spans="1:4" x14ac:dyDescent="0.3">
      <c r="A62" s="1" t="s">
        <v>129</v>
      </c>
      <c r="B62" s="1" t="s">
        <v>130</v>
      </c>
      <c r="C62" s="3">
        <v>1</v>
      </c>
      <c r="D62" s="1">
        <v>300</v>
      </c>
    </row>
    <row r="63" spans="1:4" x14ac:dyDescent="0.3">
      <c r="A63" s="1" t="s">
        <v>131</v>
      </c>
      <c r="B63" s="1" t="s">
        <v>132</v>
      </c>
      <c r="C63" s="3">
        <v>10</v>
      </c>
      <c r="D63" s="1">
        <v>50</v>
      </c>
    </row>
    <row r="64" spans="1:4" x14ac:dyDescent="0.3">
      <c r="A64" s="1" t="s">
        <v>133</v>
      </c>
      <c r="B64" s="1" t="s">
        <v>134</v>
      </c>
      <c r="C64" s="3">
        <v>15</v>
      </c>
      <c r="D64" s="1">
        <v>20</v>
      </c>
    </row>
    <row r="65" spans="1:4" x14ac:dyDescent="0.3">
      <c r="A65" s="1" t="s">
        <v>135</v>
      </c>
      <c r="B65" s="1" t="s">
        <v>136</v>
      </c>
      <c r="C65" s="3">
        <v>25</v>
      </c>
      <c r="D65" s="1">
        <v>15</v>
      </c>
    </row>
    <row r="66" spans="1:4" x14ac:dyDescent="0.3">
      <c r="A66" s="1" t="s">
        <v>137</v>
      </c>
      <c r="B66" s="1" t="s">
        <v>138</v>
      </c>
      <c r="C66" s="3">
        <v>50</v>
      </c>
      <c r="D66" s="1">
        <v>10</v>
      </c>
    </row>
    <row r="67" spans="1:4" x14ac:dyDescent="0.3">
      <c r="A67" s="1" t="s">
        <v>139</v>
      </c>
      <c r="B67" s="1" t="s">
        <v>140</v>
      </c>
      <c r="C67" s="3">
        <v>100</v>
      </c>
      <c r="D67" s="1">
        <v>5</v>
      </c>
    </row>
    <row r="68" spans="1:4" x14ac:dyDescent="0.3">
      <c r="A68" s="1" t="s">
        <v>141</v>
      </c>
      <c r="B68" s="1" t="s">
        <v>142</v>
      </c>
      <c r="C68" s="3">
        <v>30</v>
      </c>
      <c r="D68" s="1">
        <v>20</v>
      </c>
    </row>
    <row r="69" spans="1:4" x14ac:dyDescent="0.3">
      <c r="A69" s="1" t="s">
        <v>143</v>
      </c>
      <c r="B69" s="1" t="s">
        <v>144</v>
      </c>
      <c r="C69" s="3">
        <v>150</v>
      </c>
      <c r="D69" s="1">
        <v>8</v>
      </c>
    </row>
    <row r="70" spans="1:4" x14ac:dyDescent="0.3">
      <c r="A70" s="1" t="s">
        <v>145</v>
      </c>
      <c r="B70" s="1" t="s">
        <v>146</v>
      </c>
      <c r="C70" s="3">
        <v>200</v>
      </c>
      <c r="D70" s="1">
        <v>5</v>
      </c>
    </row>
    <row r="71" spans="1:4" x14ac:dyDescent="0.3">
      <c r="A71" s="1" t="s">
        <v>147</v>
      </c>
      <c r="B71" s="1" t="s">
        <v>148</v>
      </c>
      <c r="C71" s="3">
        <v>300</v>
      </c>
      <c r="D71" s="1">
        <v>3</v>
      </c>
    </row>
    <row r="72" spans="1:4" x14ac:dyDescent="0.3">
      <c r="A72" s="1" t="s">
        <v>149</v>
      </c>
      <c r="B72" s="1" t="s">
        <v>150</v>
      </c>
      <c r="C72" s="3">
        <v>50</v>
      </c>
      <c r="D72" s="1">
        <v>10</v>
      </c>
    </row>
    <row r="73" spans="1:4" x14ac:dyDescent="0.3">
      <c r="A73" s="1" t="s">
        <v>151</v>
      </c>
      <c r="B73" s="1" t="s">
        <v>152</v>
      </c>
      <c r="C73" s="3">
        <v>100</v>
      </c>
      <c r="D73" s="1">
        <v>5</v>
      </c>
    </row>
    <row r="74" spans="1:4" x14ac:dyDescent="0.3">
      <c r="A74" s="1" t="s">
        <v>153</v>
      </c>
      <c r="B74" s="1" t="s">
        <v>154</v>
      </c>
      <c r="C74" s="3">
        <v>20</v>
      </c>
      <c r="D74" s="1">
        <v>30</v>
      </c>
    </row>
    <row r="75" spans="1:4" x14ac:dyDescent="0.3">
      <c r="A75" s="1" t="s">
        <v>155</v>
      </c>
      <c r="B75" s="1" t="s">
        <v>156</v>
      </c>
      <c r="C75" s="3">
        <v>10</v>
      </c>
      <c r="D75" s="1">
        <v>50</v>
      </c>
    </row>
    <row r="76" spans="1:4" x14ac:dyDescent="0.3">
      <c r="A76" s="1" t="s">
        <v>157</v>
      </c>
      <c r="B76" s="1" t="s">
        <v>158</v>
      </c>
      <c r="C76" s="3">
        <v>15</v>
      </c>
      <c r="D76" s="1">
        <v>40</v>
      </c>
    </row>
    <row r="77" spans="1:4" x14ac:dyDescent="0.3">
      <c r="A77" s="1" t="s">
        <v>159</v>
      </c>
      <c r="B77" s="1" t="s">
        <v>160</v>
      </c>
      <c r="C77" s="3">
        <v>25</v>
      </c>
      <c r="D77" s="1">
        <v>20</v>
      </c>
    </row>
    <row r="78" spans="1:4" x14ac:dyDescent="0.3">
      <c r="A78" s="1" t="s">
        <v>161</v>
      </c>
      <c r="B78" s="1" t="s">
        <v>162</v>
      </c>
      <c r="C78" s="3">
        <v>50</v>
      </c>
      <c r="D78" s="1">
        <v>10</v>
      </c>
    </row>
    <row r="79" spans="1:4" x14ac:dyDescent="0.3">
      <c r="A79" s="1" t="s">
        <v>163</v>
      </c>
      <c r="B79" s="1" t="s">
        <v>164</v>
      </c>
      <c r="C79" s="3">
        <v>30</v>
      </c>
      <c r="D79" s="1">
        <v>25</v>
      </c>
    </row>
    <row r="80" spans="1:4" x14ac:dyDescent="0.3">
      <c r="A80" s="1" t="s">
        <v>165</v>
      </c>
      <c r="B80" s="1" t="s">
        <v>166</v>
      </c>
      <c r="C80" s="3">
        <v>40</v>
      </c>
      <c r="D80" s="1">
        <v>15</v>
      </c>
    </row>
    <row r="81" spans="1:4" x14ac:dyDescent="0.3">
      <c r="A81" s="1" t="s">
        <v>167</v>
      </c>
      <c r="B81" s="1" t="s">
        <v>168</v>
      </c>
      <c r="C81" s="3">
        <v>100</v>
      </c>
      <c r="D81" s="1">
        <v>10</v>
      </c>
    </row>
    <row r="82" spans="1:4" x14ac:dyDescent="0.3">
      <c r="A82" s="1" t="s">
        <v>169</v>
      </c>
      <c r="B82" s="1" t="s">
        <v>170</v>
      </c>
      <c r="C82" s="3">
        <v>50</v>
      </c>
      <c r="D82" s="1">
        <v>20</v>
      </c>
    </row>
    <row r="83" spans="1:4" x14ac:dyDescent="0.3">
      <c r="A83" s="1" t="s">
        <v>171</v>
      </c>
      <c r="B83" s="1" t="s">
        <v>172</v>
      </c>
      <c r="C83" s="3">
        <v>30</v>
      </c>
      <c r="D83" s="1">
        <v>25</v>
      </c>
    </row>
    <row r="84" spans="1:4" x14ac:dyDescent="0.3">
      <c r="A84" s="1" t="s">
        <v>173</v>
      </c>
      <c r="B84" s="1" t="s">
        <v>174</v>
      </c>
      <c r="C84" s="3">
        <v>10</v>
      </c>
      <c r="D84" s="1">
        <v>50</v>
      </c>
    </row>
    <row r="85" spans="1:4" x14ac:dyDescent="0.3">
      <c r="A85" s="1" t="s">
        <v>175</v>
      </c>
      <c r="B85" s="1" t="s">
        <v>176</v>
      </c>
      <c r="C85" s="3">
        <v>20</v>
      </c>
      <c r="D85" s="1">
        <v>30</v>
      </c>
    </row>
    <row r="86" spans="1:4" x14ac:dyDescent="0.3">
      <c r="A86" s="1" t="s">
        <v>177</v>
      </c>
      <c r="B86" s="1" t="s">
        <v>178</v>
      </c>
      <c r="C86" s="3">
        <v>50</v>
      </c>
      <c r="D86" s="1">
        <v>10</v>
      </c>
    </row>
    <row r="87" spans="1:4" x14ac:dyDescent="0.3">
      <c r="A87" s="1" t="s">
        <v>179</v>
      </c>
      <c r="B87" s="1" t="s">
        <v>180</v>
      </c>
      <c r="C87" s="3">
        <v>200</v>
      </c>
      <c r="D87" s="1">
        <v>5</v>
      </c>
    </row>
    <row r="88" spans="1:4" x14ac:dyDescent="0.3">
      <c r="A88" s="1" t="s">
        <v>181</v>
      </c>
      <c r="B88" s="1" t="s">
        <v>182</v>
      </c>
      <c r="C88" s="3">
        <v>300</v>
      </c>
      <c r="D88" s="1">
        <v>3</v>
      </c>
    </row>
    <row r="89" spans="1:4" x14ac:dyDescent="0.3">
      <c r="A89" s="1" t="s">
        <v>183</v>
      </c>
      <c r="B89" s="1" t="s">
        <v>184</v>
      </c>
      <c r="C89" s="3">
        <v>100</v>
      </c>
      <c r="D89" s="1">
        <v>10</v>
      </c>
    </row>
    <row r="90" spans="1:4" x14ac:dyDescent="0.3">
      <c r="A90" s="1" t="s">
        <v>185</v>
      </c>
      <c r="B90" s="1" t="s">
        <v>186</v>
      </c>
      <c r="C90" s="3">
        <v>200</v>
      </c>
      <c r="D90" s="1">
        <v>5</v>
      </c>
    </row>
    <row r="91" spans="1:4" x14ac:dyDescent="0.3">
      <c r="A91" s="1" t="s">
        <v>187</v>
      </c>
      <c r="B91" s="1" t="s">
        <v>188</v>
      </c>
      <c r="C91" s="3">
        <v>150</v>
      </c>
      <c r="D91" s="1">
        <v>8</v>
      </c>
    </row>
    <row r="92" spans="1:4" x14ac:dyDescent="0.3">
      <c r="A92" s="1" t="s">
        <v>189</v>
      </c>
      <c r="B92" s="1" t="s">
        <v>190</v>
      </c>
      <c r="C92" s="3">
        <v>50</v>
      </c>
      <c r="D92" s="1">
        <v>15</v>
      </c>
    </row>
    <row r="93" spans="1:4" x14ac:dyDescent="0.3">
      <c r="A93" s="1" t="s">
        <v>191</v>
      </c>
      <c r="B93" s="1" t="s">
        <v>192</v>
      </c>
      <c r="C93" s="3">
        <v>100</v>
      </c>
      <c r="D93" s="1">
        <v>5</v>
      </c>
    </row>
    <row r="94" spans="1:4" x14ac:dyDescent="0.3">
      <c r="A94" s="1" t="s">
        <v>193</v>
      </c>
      <c r="B94" s="1" t="s">
        <v>194</v>
      </c>
      <c r="C94" s="3">
        <v>200</v>
      </c>
      <c r="D94" s="1">
        <v>3</v>
      </c>
    </row>
    <row r="95" spans="1:4" x14ac:dyDescent="0.3">
      <c r="A95" s="1" t="s">
        <v>195</v>
      </c>
      <c r="B95" s="1" t="s">
        <v>196</v>
      </c>
      <c r="C95" s="3">
        <v>20</v>
      </c>
      <c r="D95" s="1">
        <v>30</v>
      </c>
    </row>
    <row r="96" spans="1:4" x14ac:dyDescent="0.3">
      <c r="A96" s="1" t="s">
        <v>197</v>
      </c>
      <c r="B96" s="1" t="s">
        <v>198</v>
      </c>
      <c r="C96" s="3">
        <v>50</v>
      </c>
      <c r="D96" s="1">
        <v>10</v>
      </c>
    </row>
    <row r="97" spans="1:4" x14ac:dyDescent="0.3">
      <c r="A97" s="1" t="s">
        <v>199</v>
      </c>
      <c r="B97" s="1" t="s">
        <v>200</v>
      </c>
      <c r="C97" s="3">
        <v>30</v>
      </c>
      <c r="D97" s="1">
        <v>20</v>
      </c>
    </row>
    <row r="98" spans="1:4" x14ac:dyDescent="0.3">
      <c r="A98" s="1" t="s">
        <v>201</v>
      </c>
      <c r="B98" s="1" t="s">
        <v>202</v>
      </c>
      <c r="C98" s="3">
        <v>10</v>
      </c>
      <c r="D98" s="1">
        <v>50</v>
      </c>
    </row>
    <row r="99" spans="1:4" x14ac:dyDescent="0.3">
      <c r="A99" s="1" t="s">
        <v>203</v>
      </c>
      <c r="B99" s="1" t="s">
        <v>204</v>
      </c>
      <c r="C99" s="3">
        <v>15</v>
      </c>
      <c r="D99" s="1">
        <v>40</v>
      </c>
    </row>
    <row r="100" spans="1:4" x14ac:dyDescent="0.3">
      <c r="A100" s="1" t="s">
        <v>205</v>
      </c>
      <c r="B100" s="1" t="s">
        <v>206</v>
      </c>
      <c r="C100" s="3">
        <v>300</v>
      </c>
      <c r="D100" s="1">
        <v>3</v>
      </c>
    </row>
    <row r="101" spans="1:4" x14ac:dyDescent="0.3">
      <c r="A101" s="1" t="s">
        <v>207</v>
      </c>
      <c r="B101" s="1" t="s">
        <v>208</v>
      </c>
      <c r="C101" s="3">
        <v>400</v>
      </c>
      <c r="D101" s="1">
        <v>2</v>
      </c>
    </row>
  </sheetData>
  <mergeCells count="1">
    <mergeCell ref="G7:H17"/>
  </mergeCells>
  <dataValidations count="1">
    <dataValidation type="list" allowBlank="1" showInputMessage="1" showErrorMessage="1" sqref="H2" xr:uid="{8597CD34-2EA7-41E9-9DC6-1DDAAE080DFD}">
      <formula1>$A$2:$A$101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6DB3-58BF-44ED-9D93-0E5D5159996E}">
  <dimension ref="B1:K18"/>
  <sheetViews>
    <sheetView tabSelected="1" workbookViewId="0">
      <selection activeCell="K26" sqref="K26"/>
    </sheetView>
  </sheetViews>
  <sheetFormatPr baseColWidth="10" defaultRowHeight="14.4" x14ac:dyDescent="0.3"/>
  <cols>
    <col min="11" max="11" width="41.77734375" customWidth="1"/>
  </cols>
  <sheetData>
    <row r="1" spans="2:11" ht="15" thickBot="1" x14ac:dyDescent="0.35"/>
    <row r="2" spans="2:11" x14ac:dyDescent="0.3">
      <c r="B2" s="2" t="s">
        <v>209</v>
      </c>
      <c r="C2" s="2" t="s">
        <v>0</v>
      </c>
      <c r="D2" s="2" t="s">
        <v>2</v>
      </c>
      <c r="F2" s="2" t="s">
        <v>0</v>
      </c>
      <c r="G2" s="2" t="s">
        <v>210</v>
      </c>
      <c r="H2" s="2" t="s">
        <v>2</v>
      </c>
      <c r="J2" s="13" t="s">
        <v>223</v>
      </c>
      <c r="K2" s="14"/>
    </row>
    <row r="3" spans="2:11" x14ac:dyDescent="0.3">
      <c r="B3" s="1" t="s">
        <v>211</v>
      </c>
      <c r="C3" s="1" t="s">
        <v>212</v>
      </c>
      <c r="D3" s="1"/>
      <c r="F3" s="1" t="s">
        <v>213</v>
      </c>
      <c r="G3" s="1" t="s">
        <v>214</v>
      </c>
      <c r="H3" s="19">
        <v>2.5</v>
      </c>
      <c r="J3" s="15"/>
      <c r="K3" s="16"/>
    </row>
    <row r="4" spans="2:11" x14ac:dyDescent="0.3">
      <c r="B4" s="1" t="s">
        <v>215</v>
      </c>
      <c r="C4" s="1" t="s">
        <v>213</v>
      </c>
      <c r="D4" s="1"/>
      <c r="F4" s="1" t="s">
        <v>212</v>
      </c>
      <c r="G4" s="1" t="s">
        <v>216</v>
      </c>
      <c r="H4" s="19">
        <v>4.75</v>
      </c>
      <c r="J4" s="15"/>
      <c r="K4" s="16"/>
    </row>
    <row r="5" spans="2:11" x14ac:dyDescent="0.3">
      <c r="B5" s="1" t="s">
        <v>217</v>
      </c>
      <c r="C5" s="1" t="s">
        <v>218</v>
      </c>
      <c r="D5" s="1"/>
      <c r="F5" s="1" t="s">
        <v>219</v>
      </c>
      <c r="G5" s="1" t="s">
        <v>220</v>
      </c>
      <c r="H5" s="19">
        <v>4.5</v>
      </c>
      <c r="J5" s="15"/>
      <c r="K5" s="16"/>
    </row>
    <row r="6" spans="2:11" x14ac:dyDescent="0.3">
      <c r="B6" s="1" t="s">
        <v>221</v>
      </c>
      <c r="C6" s="1" t="s">
        <v>219</v>
      </c>
      <c r="D6" s="1"/>
      <c r="F6" s="1" t="s">
        <v>218</v>
      </c>
      <c r="G6" s="1" t="s">
        <v>222</v>
      </c>
      <c r="H6" s="19">
        <v>3.75</v>
      </c>
      <c r="J6" s="15"/>
      <c r="K6" s="16"/>
    </row>
    <row r="7" spans="2:11" x14ac:dyDescent="0.3">
      <c r="J7" s="15"/>
      <c r="K7" s="16"/>
    </row>
    <row r="8" spans="2:11" x14ac:dyDescent="0.3">
      <c r="J8" s="15"/>
      <c r="K8" s="16"/>
    </row>
    <row r="9" spans="2:11" x14ac:dyDescent="0.3">
      <c r="J9" s="15"/>
      <c r="K9" s="16"/>
    </row>
    <row r="10" spans="2:11" x14ac:dyDescent="0.3">
      <c r="J10" s="15"/>
      <c r="K10" s="16"/>
    </row>
    <row r="11" spans="2:11" x14ac:dyDescent="0.3">
      <c r="J11" s="15"/>
      <c r="K11" s="16"/>
    </row>
    <row r="12" spans="2:11" x14ac:dyDescent="0.3">
      <c r="J12" s="15"/>
      <c r="K12" s="16"/>
    </row>
    <row r="13" spans="2:11" x14ac:dyDescent="0.3">
      <c r="J13" s="15"/>
      <c r="K13" s="16"/>
    </row>
    <row r="14" spans="2:11" x14ac:dyDescent="0.3">
      <c r="J14" s="15"/>
      <c r="K14" s="16"/>
    </row>
    <row r="15" spans="2:11" x14ac:dyDescent="0.3">
      <c r="J15" s="15"/>
      <c r="K15" s="16"/>
    </row>
    <row r="16" spans="2:11" x14ac:dyDescent="0.3">
      <c r="J16" s="15"/>
      <c r="K16" s="16"/>
    </row>
    <row r="17" spans="10:11" x14ac:dyDescent="0.3">
      <c r="J17" s="15"/>
      <c r="K17" s="16"/>
    </row>
    <row r="18" spans="10:11" ht="15" thickBot="1" x14ac:dyDescent="0.35">
      <c r="J18" s="17"/>
      <c r="K18" s="18"/>
    </row>
  </sheetData>
  <mergeCells count="1">
    <mergeCell ref="J2:K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404-D180-4BD6-89E4-CD799279F2CA}">
  <dimension ref="B1:K18"/>
  <sheetViews>
    <sheetView workbookViewId="0">
      <selection activeCell="J2" sqref="J2:K18"/>
    </sheetView>
  </sheetViews>
  <sheetFormatPr baseColWidth="10" defaultRowHeight="14.4" x14ac:dyDescent="0.3"/>
  <cols>
    <col min="11" max="11" width="44.109375" customWidth="1"/>
  </cols>
  <sheetData>
    <row r="1" spans="2:11" ht="15" thickBot="1" x14ac:dyDescent="0.35"/>
    <row r="2" spans="2:11" ht="14.4" customHeight="1" x14ac:dyDescent="0.3">
      <c r="B2" s="2" t="s">
        <v>209</v>
      </c>
      <c r="C2" s="2" t="s">
        <v>0</v>
      </c>
      <c r="D2" s="2" t="s">
        <v>2</v>
      </c>
      <c r="F2" s="2" t="s">
        <v>0</v>
      </c>
      <c r="G2" s="2" t="s">
        <v>210</v>
      </c>
      <c r="H2" s="2" t="s">
        <v>2</v>
      </c>
      <c r="J2" s="13" t="s">
        <v>223</v>
      </c>
      <c r="K2" s="14"/>
    </row>
    <row r="3" spans="2:11" x14ac:dyDescent="0.3">
      <c r="B3" s="1" t="s">
        <v>211</v>
      </c>
      <c r="C3" s="1" t="s">
        <v>212</v>
      </c>
      <c r="D3" s="19">
        <f>VLOOKUP($C3,$F$3:$H$6,3, FALSE)</f>
        <v>4.75</v>
      </c>
      <c r="F3" s="1" t="s">
        <v>213</v>
      </c>
      <c r="G3" s="1" t="s">
        <v>214</v>
      </c>
      <c r="H3" s="19">
        <v>2.5</v>
      </c>
      <c r="J3" s="15"/>
      <c r="K3" s="16"/>
    </row>
    <row r="4" spans="2:11" x14ac:dyDescent="0.3">
      <c r="B4" s="1" t="s">
        <v>215</v>
      </c>
      <c r="C4" s="1" t="s">
        <v>213</v>
      </c>
      <c r="D4" s="19">
        <f t="shared" ref="D4:D6" si="0">VLOOKUP($C4,$F$3:$H$6,3, FALSE)</f>
        <v>2.5</v>
      </c>
      <c r="F4" s="1" t="s">
        <v>212</v>
      </c>
      <c r="G4" s="1" t="s">
        <v>216</v>
      </c>
      <c r="H4" s="19">
        <v>4.75</v>
      </c>
      <c r="J4" s="15"/>
      <c r="K4" s="16"/>
    </row>
    <row r="5" spans="2:11" x14ac:dyDescent="0.3">
      <c r="B5" s="1" t="s">
        <v>217</v>
      </c>
      <c r="C5" s="1" t="s">
        <v>218</v>
      </c>
      <c r="D5" s="19">
        <f>VLOOKUP($C5,$F$3:$H$6,3, FALSE)</f>
        <v>3.75</v>
      </c>
      <c r="F5" s="1" t="s">
        <v>219</v>
      </c>
      <c r="G5" s="1" t="s">
        <v>220</v>
      </c>
      <c r="H5" s="19">
        <v>4.5</v>
      </c>
      <c r="J5" s="15"/>
      <c r="K5" s="16"/>
    </row>
    <row r="6" spans="2:11" x14ac:dyDescent="0.3">
      <c r="B6" s="1" t="s">
        <v>221</v>
      </c>
      <c r="C6" s="1" t="s">
        <v>219</v>
      </c>
      <c r="D6" s="19">
        <f t="shared" si="0"/>
        <v>4.5</v>
      </c>
      <c r="F6" s="1" t="s">
        <v>218</v>
      </c>
      <c r="G6" s="1" t="s">
        <v>222</v>
      </c>
      <c r="H6" s="19">
        <v>3.75</v>
      </c>
      <c r="J6" s="15"/>
      <c r="K6" s="16"/>
    </row>
    <row r="7" spans="2:11" x14ac:dyDescent="0.3">
      <c r="J7" s="15"/>
      <c r="K7" s="16"/>
    </row>
    <row r="8" spans="2:11" x14ac:dyDescent="0.3">
      <c r="J8" s="15"/>
      <c r="K8" s="16"/>
    </row>
    <row r="9" spans="2:11" x14ac:dyDescent="0.3">
      <c r="J9" s="15"/>
      <c r="K9" s="16"/>
    </row>
    <row r="10" spans="2:11" x14ac:dyDescent="0.3">
      <c r="J10" s="15"/>
      <c r="K10" s="16"/>
    </row>
    <row r="11" spans="2:11" x14ac:dyDescent="0.3">
      <c r="J11" s="15"/>
      <c r="K11" s="16"/>
    </row>
    <row r="12" spans="2:11" x14ac:dyDescent="0.3">
      <c r="J12" s="15"/>
      <c r="K12" s="16"/>
    </row>
    <row r="13" spans="2:11" x14ac:dyDescent="0.3">
      <c r="J13" s="15"/>
      <c r="K13" s="16"/>
    </row>
    <row r="14" spans="2:11" x14ac:dyDescent="0.3">
      <c r="J14" s="15"/>
      <c r="K14" s="16"/>
    </row>
    <row r="15" spans="2:11" x14ac:dyDescent="0.3">
      <c r="J15" s="15"/>
      <c r="K15" s="16"/>
    </row>
    <row r="16" spans="2:11" x14ac:dyDescent="0.3">
      <c r="J16" s="15"/>
      <c r="K16" s="16"/>
    </row>
    <row r="17" spans="10:11" x14ac:dyDescent="0.3">
      <c r="J17" s="15"/>
      <c r="K17" s="16"/>
    </row>
    <row r="18" spans="10:11" ht="15" thickBot="1" x14ac:dyDescent="0.35">
      <c r="J18" s="17"/>
      <c r="K18" s="18"/>
    </row>
  </sheetData>
  <mergeCells count="1">
    <mergeCell ref="J2:K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31257F-34F7-4A36-94ED-ECE800753D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Exercice-Produit</vt:lpstr>
      <vt:lpstr>Solution-Produit</vt:lpstr>
      <vt:lpstr>Exercice-Café</vt:lpstr>
      <vt:lpstr>Solution-Café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 Garneau</dc:creator>
  <cp:keywords/>
  <dc:description/>
  <cp:lastModifiedBy>Olivier Tremblay</cp:lastModifiedBy>
  <cp:revision/>
  <dcterms:created xsi:type="dcterms:W3CDTF">2020-10-20T15:56:58Z</dcterms:created>
  <dcterms:modified xsi:type="dcterms:W3CDTF">2026-02-13T01:24:26Z</dcterms:modified>
  <cp:category/>
  <cp:contentStatus/>
</cp:coreProperties>
</file>