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ilieu de l'informatique\Théorie\Semaine 6\"/>
    </mc:Choice>
  </mc:AlternateContent>
  <xr:revisionPtr revIDLastSave="0" documentId="13_ncr:1_{15F42F75-D4D0-4DD7-BAA4-A5DC4D8DB6BD}" xr6:coauthVersionLast="47" xr6:coauthVersionMax="47" xr10:uidLastSave="{00000000-0000-0000-0000-000000000000}"/>
  <bookViews>
    <workbookView xWindow="-28920" yWindow="-120" windowWidth="29040" windowHeight="15720" activeTab="2" xr2:uid="{468A721F-E8C8-4185-96F6-1CFEF1910F7B}"/>
  </bookViews>
  <sheets>
    <sheet name="IMPROVISATION" sheetId="1" r:id="rId1"/>
    <sheet name="Mise en page impression" sheetId="2" r:id="rId2"/>
    <sheet name="Tableau croisé dynamiqu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4" l="1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42" i="4"/>
  <c r="D14" i="4"/>
  <c r="E14" i="4"/>
  <c r="F14" i="4"/>
  <c r="G14" i="4"/>
  <c r="H14" i="4"/>
  <c r="C14" i="4"/>
  <c r="I12" i="4"/>
  <c r="I13" i="4"/>
  <c r="I11" i="4"/>
</calcChain>
</file>

<file path=xl/sharedStrings.xml><?xml version="1.0" encoding="utf-8"?>
<sst xmlns="http://schemas.openxmlformats.org/spreadsheetml/2006/main" count="229" uniqueCount="167">
  <si>
    <t>Impression</t>
  </si>
  <si>
    <t>1. Fichier &gt; Imprimer</t>
  </si>
  <si>
    <t>2. CTRL + P</t>
  </si>
  <si>
    <t>Pour ouvrir les configurations d'impression, vous avez deux options.</t>
  </si>
  <si>
    <t>Vous allez avoir plusieurs options à l'impression.</t>
  </si>
  <si>
    <t>Le choix de l'imprimante.</t>
  </si>
  <si>
    <t>La sélection à imprimer.</t>
  </si>
  <si>
    <t>1. Imprimer les feuilles atives.</t>
  </si>
  <si>
    <t>2. Imprimer le classeur entier.</t>
  </si>
  <si>
    <t>3. Imprimer la sélection.</t>
  </si>
  <si>
    <t xml:space="preserve">Orientage de la page. </t>
  </si>
  <si>
    <r>
      <t xml:space="preserve">Pour un tableur, on pourrait généralement préférer </t>
    </r>
    <r>
      <rPr>
        <b/>
        <sz val="11"/>
        <color theme="1"/>
        <rFont val="Aptos Narrow"/>
        <family val="2"/>
        <scheme val="minor"/>
      </rPr>
      <t>Paysage</t>
    </r>
  </si>
  <si>
    <t>Format du papier</t>
  </si>
  <si>
    <t>Marges du document</t>
  </si>
  <si>
    <t xml:space="preserve">Mise à l'échelle </t>
  </si>
  <si>
    <t>Bouton imprimer.</t>
  </si>
  <si>
    <t>Onglet Mise en page</t>
  </si>
  <si>
    <t xml:space="preserve">Une fois que vous êtes allé dans les </t>
  </si>
  <si>
    <t>options d'impressions, vous devriez</t>
  </si>
  <si>
    <t>voir des pointillés qui délimitent vos</t>
  </si>
  <si>
    <t xml:space="preserve">pages dans Excel. </t>
  </si>
  <si>
    <t>Les options de mise en page vont vous</t>
  </si>
  <si>
    <t>permettre de modifier ces éléments.</t>
  </si>
  <si>
    <t>Marges</t>
  </si>
  <si>
    <t>Orientation</t>
  </si>
  <si>
    <t>Taille</t>
  </si>
  <si>
    <r>
      <t xml:space="preserve">La </t>
    </r>
    <r>
      <rPr>
        <b/>
        <sz val="11"/>
        <color theme="1"/>
        <rFont val="Aptos Narrow"/>
        <family val="2"/>
        <scheme val="minor"/>
      </rPr>
      <t xml:space="preserve">Zone Impr </t>
    </r>
    <r>
      <rPr>
        <sz val="11"/>
        <color theme="1"/>
        <rFont val="Aptos Narrow"/>
        <family val="2"/>
        <scheme val="minor"/>
      </rPr>
      <t>(zone d'impression) permet aussi de sélectionner une plage</t>
    </r>
  </si>
  <si>
    <t>de données à imprimer.</t>
  </si>
  <si>
    <r>
      <t>L'option "</t>
    </r>
    <r>
      <rPr>
        <b/>
        <sz val="11"/>
        <color theme="1"/>
        <rFont val="Aptos Narrow"/>
        <family val="2"/>
        <scheme val="minor"/>
      </rPr>
      <t>Imprimer les titres</t>
    </r>
    <r>
      <rPr>
        <sz val="11"/>
        <color theme="1"/>
        <rFont val="Aptos Narrow"/>
        <family val="2"/>
        <scheme val="minor"/>
      </rPr>
      <t>" permet d'afficher les titres à toutes les pages</t>
    </r>
  </si>
  <si>
    <t>qui seront imprimées afin de ne pas perdre d'information.</t>
  </si>
  <si>
    <t>Vous pouvez aussi configurer directement</t>
  </si>
  <si>
    <t>la mise à l'échelle dans l'onglet de Mise</t>
  </si>
  <si>
    <t xml:space="preserve">en page. </t>
  </si>
  <si>
    <t>Si vous voulez modifier vos pages avec davantage de précisions, vous devez</t>
  </si>
  <si>
    <t>On y retrouve toutes les informations précédemment discutées, avec davantage</t>
  </si>
  <si>
    <t>d'options!</t>
  </si>
  <si>
    <t>En-tête et pied de page</t>
  </si>
  <si>
    <r>
      <t xml:space="preserve">passer par la </t>
    </r>
    <r>
      <rPr>
        <b/>
        <sz val="11"/>
        <color theme="1"/>
        <rFont val="Aptos Narrow"/>
        <family val="2"/>
        <scheme val="minor"/>
      </rPr>
      <t>boîte de dialogue</t>
    </r>
    <r>
      <rPr>
        <sz val="11"/>
        <color theme="1"/>
        <rFont val="Aptos Narrow"/>
        <family val="2"/>
        <scheme val="minor"/>
      </rPr>
      <t xml:space="preserve"> de mise en page. </t>
    </r>
  </si>
  <si>
    <t>Modes d'affichages</t>
  </si>
  <si>
    <t>Dans le coin inférieur droit de votre fenêtre Excel se trouve des options d'affichage.</t>
  </si>
  <si>
    <t>Normal</t>
  </si>
  <si>
    <t>Affichage de Excel par défaut avec lequel vous êtes habitué.</t>
  </si>
  <si>
    <t>Mise en page</t>
  </si>
  <si>
    <t>Permet de visualiser le document en fonction de ses configurations d'impression.</t>
  </si>
  <si>
    <t>Saut de pages.</t>
  </si>
  <si>
    <t>Permet de bouger les pointillés afin de modifier les sauts de page.</t>
  </si>
  <si>
    <t>Somme automatique</t>
  </si>
  <si>
    <t>Dans l'onglet "Accueil", à l'intérieur du groupe "Édition"</t>
  </si>
  <si>
    <r>
      <rPr>
        <b/>
        <sz val="11"/>
        <color theme="1"/>
        <rFont val="Aptos Narrow"/>
        <family val="2"/>
        <scheme val="minor"/>
      </rPr>
      <t>automatisés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</si>
  <si>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vous retrouverez des options pour faire des </t>
    </r>
    <r>
      <rPr>
        <b/>
        <sz val="11"/>
        <color theme="1"/>
        <rFont val="Aptos Narrow"/>
        <family val="2"/>
        <scheme val="minor"/>
      </rPr>
      <t>sommes</t>
    </r>
  </si>
  <si>
    <t>Produit</t>
  </si>
  <si>
    <t>Pantalons</t>
  </si>
  <si>
    <t>Chemises</t>
  </si>
  <si>
    <t>Chaussures</t>
  </si>
  <si>
    <t>Plus grande ventes</t>
  </si>
  <si>
    <t>Janvier</t>
  </si>
  <si>
    <t>Février</t>
  </si>
  <si>
    <t>Mars</t>
  </si>
  <si>
    <t>Avril</t>
  </si>
  <si>
    <t>Mai</t>
  </si>
  <si>
    <t>Juin</t>
  </si>
  <si>
    <t>Totaux</t>
  </si>
  <si>
    <t>Analyse rapide</t>
  </si>
  <si>
    <t>Quand vous faites la sélection d'une plage de données, un bouton d'analyse rapide apparaît en</t>
  </si>
  <si>
    <t>bas à droite de votre sélection. Dans cette fenêtre, vous avez diverses options.</t>
  </si>
  <si>
    <t>Mise en forme</t>
  </si>
  <si>
    <t>Des graphiques</t>
  </si>
  <si>
    <t>Des totaux</t>
  </si>
  <si>
    <t>Des graphiques sparkline.</t>
  </si>
  <si>
    <t>uPourquoi?</t>
  </si>
  <si>
    <t>uCe que ça prend pour faire un tableau croisé dynamique :</t>
  </si>
  <si>
    <t>uDes données répétitives et textuelles (Des catégories ou des constantes qui se répètes dans une ou des colonnes)</t>
  </si>
  <si>
    <t>uDes données qui se calculent (somme, moyenne, min, max, nb, etc.)</t>
  </si>
  <si>
    <t>Tableau croisé dynamique</t>
  </si>
  <si>
    <t xml:space="preserve">Quand j'ai des données calculables pour fin de statistiques ou des données regroupées (répétitives) dans un tableau </t>
  </si>
  <si>
    <t xml:space="preserve">ou une plage de données, le tableau croisé dynamique devient un outil puissant. </t>
  </si>
  <si>
    <t>Prénom</t>
  </si>
  <si>
    <t>Nom</t>
  </si>
  <si>
    <t>Département</t>
  </si>
  <si>
    <t>Résultat 1</t>
  </si>
  <si>
    <t>Résultat 2</t>
  </si>
  <si>
    <t>Résultat 3</t>
  </si>
  <si>
    <t>Session</t>
  </si>
  <si>
    <t>Alek</t>
  </si>
  <si>
    <t>Bastien</t>
  </si>
  <si>
    <t>Camille</t>
  </si>
  <si>
    <t>Daniel</t>
  </si>
  <si>
    <t>Émilie</t>
  </si>
  <si>
    <t>France</t>
  </si>
  <si>
    <t>Gaston</t>
  </si>
  <si>
    <t>Horace</t>
  </si>
  <si>
    <t>Ismaël</t>
  </si>
  <si>
    <t>Jacqueline</t>
  </si>
  <si>
    <t>Kaddy</t>
  </si>
  <si>
    <t>Marc</t>
  </si>
  <si>
    <t>Noémie</t>
  </si>
  <si>
    <t>Olivier</t>
  </si>
  <si>
    <t>Patricia</t>
  </si>
  <si>
    <t>Quentin</t>
  </si>
  <si>
    <t>Raymond</t>
  </si>
  <si>
    <t>Stéphanie</t>
  </si>
  <si>
    <t>Tharle</t>
  </si>
  <si>
    <t>Zachary</t>
  </si>
  <si>
    <t>Yannick</t>
  </si>
  <si>
    <t>Xavier</t>
  </si>
  <si>
    <t>Valérie</t>
  </si>
  <si>
    <t>Ulric</t>
  </si>
  <si>
    <t>Tremblay</t>
  </si>
  <si>
    <t>Chouinard</t>
  </si>
  <si>
    <t>Laurie</t>
  </si>
  <si>
    <t>Littérature</t>
  </si>
  <si>
    <t>Côté</t>
  </si>
  <si>
    <t>Taillon</t>
  </si>
  <si>
    <t>Gagnon</t>
  </si>
  <si>
    <t>Simard</t>
  </si>
  <si>
    <t>Bilodeau</t>
  </si>
  <si>
    <t>Leroux</t>
  </si>
  <si>
    <t>Sciences</t>
  </si>
  <si>
    <t>Commerce</t>
  </si>
  <si>
    <t>Informatique</t>
  </si>
  <si>
    <t>Art</t>
  </si>
  <si>
    <t>A2025</t>
  </si>
  <si>
    <t>A2020</t>
  </si>
  <si>
    <t>H2020</t>
  </si>
  <si>
    <t>A2021</t>
  </si>
  <si>
    <t>H2021</t>
  </si>
  <si>
    <t>A2022</t>
  </si>
  <si>
    <t>H2022</t>
  </si>
  <si>
    <t>A2023</t>
  </si>
  <si>
    <t>H2023</t>
  </si>
  <si>
    <t>A2024</t>
  </si>
  <si>
    <t>H2024</t>
  </si>
  <si>
    <t>Automne 2020</t>
  </si>
  <si>
    <t>Automne 2021</t>
  </si>
  <si>
    <t>Automne 2022</t>
  </si>
  <si>
    <t>Automne 2023</t>
  </si>
  <si>
    <t>Automne 2024</t>
  </si>
  <si>
    <t>Automne 2025</t>
  </si>
  <si>
    <t>Hiver 2020</t>
  </si>
  <si>
    <t>Hiver 2021</t>
  </si>
  <si>
    <t>Hiver 2022</t>
  </si>
  <si>
    <t>Hiver 2023</t>
  </si>
  <si>
    <t>Hiver 2024</t>
  </si>
  <si>
    <t>ID_Session</t>
  </si>
  <si>
    <t>Dans l'exemple ci-dessus, j'ai plusieurs informations répétitives :</t>
  </si>
  <si>
    <t>Le nom de famille</t>
  </si>
  <si>
    <t>Le département</t>
  </si>
  <si>
    <t>Les sessions</t>
  </si>
  <si>
    <t>Et je pourrais vouloir faire des calculs en fonction des résultats de chaque examen du cours.</t>
  </si>
  <si>
    <t>Pour créer un tableau croisé dynamique, on peut d'abord passer par l'onglet "Insertion" et choisir "Tableau croisé dynamique".</t>
  </si>
  <si>
    <t>Une fois votre tableau créé, vous pouvez en faire l'édition grâce au menu à droite de votre écran,.</t>
  </si>
  <si>
    <r>
      <t xml:space="preserve">L'objectif est de faire du " </t>
    </r>
    <r>
      <rPr>
        <b/>
        <sz val="11"/>
        <color theme="1"/>
        <rFont val="Aptos Narrow"/>
        <family val="2"/>
        <scheme val="minor"/>
      </rPr>
      <t xml:space="preserve">DRAG n DROP </t>
    </r>
    <r>
      <rPr>
        <sz val="11"/>
        <color theme="1"/>
        <rFont val="Aptos Narrow"/>
        <family val="2"/>
        <scheme val="minor"/>
      </rPr>
      <t>" des éléments de votre tableau dans les différentes</t>
    </r>
  </si>
  <si>
    <t>catégories (zones) du bas de l'écran.</t>
  </si>
  <si>
    <r>
      <t xml:space="preserve">La zone " </t>
    </r>
    <r>
      <rPr>
        <b/>
        <sz val="11"/>
        <color theme="1"/>
        <rFont val="Aptos Narrow"/>
        <family val="2"/>
        <scheme val="minor"/>
      </rPr>
      <t xml:space="preserve">Lignes </t>
    </r>
    <r>
      <rPr>
        <sz val="11"/>
        <color theme="1"/>
        <rFont val="Aptos Narrow"/>
        <family val="2"/>
        <scheme val="minor"/>
      </rPr>
      <t xml:space="preserve">". </t>
    </r>
  </si>
  <si>
    <t>Si vous déposez une information dans la zone de lignes, Excel va répertorier chaque ligne</t>
  </si>
  <si>
    <r>
      <t xml:space="preserve">de façon </t>
    </r>
    <r>
      <rPr>
        <b/>
        <sz val="11"/>
        <color theme="1"/>
        <rFont val="Aptos Narrow"/>
        <family val="2"/>
        <scheme val="minor"/>
      </rPr>
      <t>unique</t>
    </r>
    <r>
      <rPr>
        <sz val="11"/>
        <color theme="1"/>
        <rFont val="Aptos Narrow"/>
        <family val="2"/>
        <scheme val="minor"/>
      </rPr>
      <t>. C'est-à-dire, si vous avez des données qui se répète dans le champ de votre</t>
    </r>
  </si>
  <si>
    <r>
      <t xml:space="preserve">choix, Excel ne va afficher ces informations </t>
    </r>
    <r>
      <rPr>
        <b/>
        <sz val="11"/>
        <color theme="1"/>
        <rFont val="Aptos Narrow"/>
        <family val="2"/>
        <scheme val="minor"/>
      </rPr>
      <t>qu'une seule fois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</si>
  <si>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La zone " </t>
    </r>
    <r>
      <rPr>
        <b/>
        <sz val="11"/>
        <color theme="1"/>
        <rFont val="Aptos Narrow"/>
        <family val="2"/>
        <scheme val="minor"/>
      </rPr>
      <t xml:space="preserve">Valeurs </t>
    </r>
    <r>
      <rPr>
        <sz val="11"/>
        <color theme="1"/>
        <rFont val="Aptos Narrow"/>
        <family val="2"/>
        <scheme val="minor"/>
      </rPr>
      <t xml:space="preserve">" </t>
    </r>
  </si>
  <si>
    <t xml:space="preserve">Excel se chargera de faire les calculs de façon dynamique. </t>
  </si>
  <si>
    <r>
      <t xml:space="preserve">Si vous déposez des colonnes à fin de </t>
    </r>
    <r>
      <rPr>
        <b/>
        <sz val="11"/>
        <color theme="1"/>
        <rFont val="Aptos Narrow"/>
        <family val="2"/>
        <scheme val="minor"/>
      </rPr>
      <t>calculs automatisés</t>
    </r>
    <r>
      <rPr>
        <sz val="11"/>
        <color theme="1"/>
        <rFont val="Aptos Narrow"/>
        <family val="2"/>
        <scheme val="minor"/>
      </rPr>
      <t xml:space="preserve"> dans cette section, alors</t>
    </r>
  </si>
  <si>
    <r>
      <t xml:space="preserve">La zone " </t>
    </r>
    <r>
      <rPr>
        <b/>
        <sz val="11"/>
        <color theme="1"/>
        <rFont val="Aptos Narrow"/>
        <family val="2"/>
        <scheme val="minor"/>
      </rPr>
      <t xml:space="preserve">Colonnes </t>
    </r>
    <r>
      <rPr>
        <sz val="11"/>
        <color theme="1"/>
        <rFont val="Aptos Narrow"/>
        <family val="2"/>
        <scheme val="minor"/>
      </rPr>
      <t xml:space="preserve">" </t>
    </r>
  </si>
  <si>
    <t xml:space="preserve">Cette zone permet d'établir les colonnes de votre tableau croisé dynamique. </t>
  </si>
  <si>
    <r>
      <t xml:space="preserve">La zone " </t>
    </r>
    <r>
      <rPr>
        <b/>
        <sz val="11"/>
        <color theme="1"/>
        <rFont val="Aptos Narrow"/>
        <family val="2"/>
        <scheme val="minor"/>
      </rPr>
      <t xml:space="preserve">Filtres </t>
    </r>
    <r>
      <rPr>
        <sz val="11"/>
        <color theme="1"/>
        <rFont val="Aptos Narrow"/>
        <family val="2"/>
        <scheme val="minor"/>
      </rPr>
      <t>"</t>
    </r>
  </si>
  <si>
    <t>Cette zone permet d'ajouter une information du tableau de départ qui pourra agir comme</t>
  </si>
  <si>
    <t xml:space="preserve">filtre sur les différentes données du tableau croisé dynamique. </t>
  </si>
  <si>
    <r>
      <t xml:space="preserve">Sachez aussi qu'il y a des </t>
    </r>
    <r>
      <rPr>
        <b/>
        <sz val="11"/>
        <color theme="1"/>
        <rFont val="Aptos Narrow"/>
        <family val="2"/>
        <scheme val="minor"/>
      </rPr>
      <t>onglets contextuels</t>
    </r>
    <r>
      <rPr>
        <sz val="11"/>
        <color theme="1"/>
        <rFont val="Aptos Narrow"/>
        <family val="2"/>
        <scheme val="minor"/>
      </rPr>
      <t xml:space="preserve"> aux tableaux croisés dynamiques. </t>
    </r>
  </si>
  <si>
    <t>Vous pouvez avoir de nouvelles options dans ces onglets et modifier l'apparence de votre tableau.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</si>
</sst>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1" xfId="0" applyFont="1" applyBorder="1"/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44" fontId="0" fillId="0" borderId="0" xfId="1" applyFont="1" applyBorder="1"/>
    <xf numFmtId="44" fontId="0" fillId="0" borderId="4" xfId="1" applyFont="1" applyBorder="1"/>
    <xf numFmtId="0" fontId="3" fillId="0" borderId="5" xfId="0" applyFont="1" applyBorder="1"/>
    <xf numFmtId="44" fontId="0" fillId="0" borderId="8" xfId="1" applyFont="1" applyBorder="1"/>
    <xf numFmtId="44" fontId="0" fillId="0" borderId="6" xfId="1" applyFont="1" applyBorder="1"/>
    <xf numFmtId="0" fontId="3" fillId="2" borderId="0" xfId="0" applyFont="1" applyFill="1" applyAlignment="1">
      <alignment horizontal="center" vertical="center"/>
    </xf>
    <xf numFmtId="0" fontId="3" fillId="4" borderId="0" xfId="0" applyFont="1" applyFill="1"/>
    <xf numFmtId="44" fontId="0" fillId="5" borderId="0" xfId="1" applyFont="1" applyFill="1"/>
    <xf numFmtId="44" fontId="6" fillId="3" borderId="0" xfId="0" applyNumberFormat="1" applyFont="1" applyFill="1"/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6" xfId="0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139065</xdr:colOff>
      <xdr:row>7</xdr:row>
      <xdr:rowOff>15240</xdr:rowOff>
    </xdr:from>
    <xdr:to>
      <xdr:col>7</xdr:col>
      <xdr:colOff>779338</xdr:colOff>
      <xdr:row>31</xdr:row>
      <xdr:rowOff>38478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AD6C9F9-DEFF-FF62-9EFD-78DE0DF36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1940" y="1329690"/>
          <a:ext cx="2225233" cy="43666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123825</xdr:colOff>
      <xdr:row>34</xdr:row>
      <xdr:rowOff>28575</xdr:rowOff>
    </xdr:from>
    <xdr:to>
      <xdr:col>8</xdr:col>
      <xdr:colOff>15504</xdr:colOff>
      <xdr:row>39</xdr:row>
      <xdr:rowOff>173446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4E8A23D-C84E-B4D7-14D0-C9BDABAD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6276975"/>
          <a:ext cx="3048264" cy="104974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466725</xdr:colOff>
      <xdr:row>38</xdr:row>
      <xdr:rowOff>152400</xdr:rowOff>
    </xdr:from>
    <xdr:to>
      <xdr:col>4</xdr:col>
      <xdr:colOff>495300</xdr:colOff>
      <xdr:row>41</xdr:row>
      <xdr:rowOff>171450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93DCFBDE-DB36-3F74-816B-92046BB07F87}"/>
            </a:ext>
          </a:extLst>
        </xdr:cNvPr>
        <xdr:cNvCxnSpPr/>
      </xdr:nvCxnSpPr>
      <xdr:spPr>
        <a:xfrm flipH="1" flipV="1">
          <a:off x="3657600" y="7124700"/>
          <a:ext cx="28575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38</xdr:row>
      <xdr:rowOff>152400</xdr:rowOff>
    </xdr:from>
    <xdr:to>
      <xdr:col>4</xdr:col>
      <xdr:colOff>493395</xdr:colOff>
      <xdr:row>41</xdr:row>
      <xdr:rowOff>167640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C16410EE-B226-4E29-B6F3-5F667404BF82}"/>
            </a:ext>
          </a:extLst>
        </xdr:cNvPr>
        <xdr:cNvCxnSpPr/>
      </xdr:nvCxnSpPr>
      <xdr:spPr>
        <a:xfrm flipH="1" flipV="1">
          <a:off x="3657600" y="7124700"/>
          <a:ext cx="26670" cy="558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38</xdr:row>
      <xdr:rowOff>152400</xdr:rowOff>
    </xdr:from>
    <xdr:to>
      <xdr:col>4</xdr:col>
      <xdr:colOff>491490</xdr:colOff>
      <xdr:row>41</xdr:row>
      <xdr:rowOff>171450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86FDCDFD-2274-45E6-9D1A-D78D5E9D1750}"/>
            </a:ext>
          </a:extLst>
        </xdr:cNvPr>
        <xdr:cNvCxnSpPr/>
      </xdr:nvCxnSpPr>
      <xdr:spPr>
        <a:xfrm flipH="1" flipV="1">
          <a:off x="3657600" y="7124700"/>
          <a:ext cx="24765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38</xdr:row>
      <xdr:rowOff>114300</xdr:rowOff>
    </xdr:from>
    <xdr:to>
      <xdr:col>5</xdr:col>
      <xdr:colOff>438150</xdr:colOff>
      <xdr:row>41</xdr:row>
      <xdr:rowOff>171450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7CA1F034-C289-48F6-AE5B-16CDC610B2CC}"/>
            </a:ext>
          </a:extLst>
        </xdr:cNvPr>
        <xdr:cNvCxnSpPr/>
      </xdr:nvCxnSpPr>
      <xdr:spPr>
        <a:xfrm flipH="1" flipV="1">
          <a:off x="4149090" y="7086600"/>
          <a:ext cx="270510" cy="600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38</xdr:row>
      <xdr:rowOff>114300</xdr:rowOff>
    </xdr:from>
    <xdr:to>
      <xdr:col>5</xdr:col>
      <xdr:colOff>430530</xdr:colOff>
      <xdr:row>41</xdr:row>
      <xdr:rowOff>167640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1B1357C5-9A7A-461F-A189-F644EB111BC7}"/>
            </a:ext>
          </a:extLst>
        </xdr:cNvPr>
        <xdr:cNvCxnSpPr/>
      </xdr:nvCxnSpPr>
      <xdr:spPr>
        <a:xfrm flipH="1" flipV="1">
          <a:off x="4149090" y="7086600"/>
          <a:ext cx="262890" cy="596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621030</xdr:colOff>
      <xdr:row>38</xdr:row>
      <xdr:rowOff>91440</xdr:rowOff>
    </xdr:from>
    <xdr:to>
      <xdr:col>6</xdr:col>
      <xdr:colOff>476250</xdr:colOff>
      <xdr:row>41</xdr:row>
      <xdr:rowOff>142875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A478C476-80BF-485A-8DBF-AC8AA320B2D5}"/>
            </a:ext>
          </a:extLst>
        </xdr:cNvPr>
        <xdr:cNvCxnSpPr/>
      </xdr:nvCxnSpPr>
      <xdr:spPr>
        <a:xfrm flipH="1" flipV="1">
          <a:off x="4602480" y="7063740"/>
          <a:ext cx="645795" cy="594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325755</xdr:colOff>
      <xdr:row>50</xdr:row>
      <xdr:rowOff>139065</xdr:rowOff>
    </xdr:from>
    <xdr:to>
      <xdr:col>6</xdr:col>
      <xdr:colOff>173479</xdr:colOff>
      <xdr:row>55</xdr:row>
      <xdr:rowOff>59126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58BFB41-608E-7D85-64A1-1A9F6118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6630" y="9283065"/>
          <a:ext cx="1436494" cy="82874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754380</xdr:colOff>
      <xdr:row>64</xdr:row>
      <xdr:rowOff>102870</xdr:rowOff>
    </xdr:from>
    <xdr:to>
      <xdr:col>6</xdr:col>
      <xdr:colOff>648104</xdr:colOff>
      <xdr:row>84</xdr:row>
      <xdr:rowOff>95562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8846F208-AD94-B7A3-C6AB-C87E37B9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380" y="11780520"/>
          <a:ext cx="4665749" cy="36026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672465</xdr:colOff>
      <xdr:row>64</xdr:row>
      <xdr:rowOff>19050</xdr:rowOff>
    </xdr:from>
    <xdr:to>
      <xdr:col>3</xdr:col>
      <xdr:colOff>542925</xdr:colOff>
      <xdr:row>66</xdr:row>
      <xdr:rowOff>15240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9D826B67-EF80-429D-9089-1E7145E756C9}"/>
            </a:ext>
          </a:extLst>
        </xdr:cNvPr>
        <xdr:cNvCxnSpPr/>
      </xdr:nvCxnSpPr>
      <xdr:spPr>
        <a:xfrm flipH="1">
          <a:off x="2282190" y="11696700"/>
          <a:ext cx="661035" cy="358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40</xdr:row>
      <xdr:rowOff>19051</xdr:rowOff>
    </xdr:from>
    <xdr:to>
      <xdr:col>7</xdr:col>
      <xdr:colOff>723900</xdr:colOff>
      <xdr:row>58</xdr:row>
      <xdr:rowOff>123826</xdr:rowOff>
    </xdr:to>
    <xdr:cxnSp macro="">
      <xdr:nvCxnSpPr>
        <xdr:cNvPr id="20" name="Connecteur : en arc 19">
          <a:extLst>
            <a:ext uri="{FF2B5EF4-FFF2-40B4-BE49-F238E27FC236}">
              <a16:creationId xmlns:a16="http://schemas.microsoft.com/office/drawing/2014/main" id="{357710B4-CA79-26D9-5580-B109D8942217}"/>
            </a:ext>
          </a:extLst>
        </xdr:cNvPr>
        <xdr:cNvCxnSpPr/>
      </xdr:nvCxnSpPr>
      <xdr:spPr>
        <a:xfrm rot="5400000" flipH="1" flipV="1">
          <a:off x="3352800" y="7781926"/>
          <a:ext cx="3362325" cy="2505075"/>
        </a:xfrm>
        <a:prstGeom prst="curvedConnector3">
          <a:avLst>
            <a:gd name="adj1" fmla="val -2885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38</xdr:row>
      <xdr:rowOff>152400</xdr:rowOff>
    </xdr:from>
    <xdr:to>
      <xdr:col>8</xdr:col>
      <xdr:colOff>47625</xdr:colOff>
      <xdr:row>40</xdr:row>
      <xdr:rowOff>28575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C2B5860-9B18-23E8-92D5-627529575142}"/>
            </a:ext>
          </a:extLst>
        </xdr:cNvPr>
        <xdr:cNvSpPr/>
      </xdr:nvSpPr>
      <xdr:spPr>
        <a:xfrm>
          <a:off x="6153150" y="7124700"/>
          <a:ext cx="247650" cy="238125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 editAs="oneCell">
    <xdr:from>
      <xdr:col>2</xdr:col>
      <xdr:colOff>459105</xdr:colOff>
      <xdr:row>98</xdr:row>
      <xdr:rowOff>0</xdr:rowOff>
    </xdr:from>
    <xdr:to>
      <xdr:col>5</xdr:col>
      <xdr:colOff>472646</xdr:colOff>
      <xdr:row>99</xdr:row>
      <xdr:rowOff>97179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C60CCCB6-53E9-980D-8A1B-29233448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8830" y="17878425"/>
          <a:ext cx="2379551" cy="2781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0</xdr:colOff>
      <xdr:row>95</xdr:row>
      <xdr:rowOff>102870</xdr:rowOff>
    </xdr:from>
    <xdr:to>
      <xdr:col>2</xdr:col>
      <xdr:colOff>733425</xdr:colOff>
      <xdr:row>98</xdr:row>
      <xdr:rowOff>9525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65C3D33F-14AF-4750-859F-D92F9E3D4ADE}"/>
            </a:ext>
          </a:extLst>
        </xdr:cNvPr>
        <xdr:cNvCxnSpPr/>
      </xdr:nvCxnSpPr>
      <xdr:spPr>
        <a:xfrm>
          <a:off x="1609725" y="17438370"/>
          <a:ext cx="733425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95</xdr:row>
      <xdr:rowOff>95250</xdr:rowOff>
    </xdr:from>
    <xdr:to>
      <xdr:col>3</xdr:col>
      <xdr:colOff>276225</xdr:colOff>
      <xdr:row>98</xdr:row>
      <xdr:rowOff>38100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546C0EA4-FD2E-416F-9D65-8E18DE35D36B}"/>
            </a:ext>
          </a:extLst>
        </xdr:cNvPr>
        <xdr:cNvCxnSpPr/>
      </xdr:nvCxnSpPr>
      <xdr:spPr>
        <a:xfrm flipH="1">
          <a:off x="2609850" y="17430750"/>
          <a:ext cx="66675" cy="485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596265</xdr:colOff>
      <xdr:row>2</xdr:row>
      <xdr:rowOff>114300</xdr:rowOff>
    </xdr:from>
    <xdr:to>
      <xdr:col>6</xdr:col>
      <xdr:colOff>476373</xdr:colOff>
      <xdr:row>7</xdr:row>
      <xdr:rowOff>93422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35CE6D3-9DD2-6540-D91B-B9446E6C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9140" y="523875"/>
          <a:ext cx="1428873" cy="8935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152400</xdr:colOff>
      <xdr:row>4</xdr:row>
      <xdr:rowOff>9525</xdr:rowOff>
    </xdr:from>
    <xdr:to>
      <xdr:col>5</xdr:col>
      <xdr:colOff>561975</xdr:colOff>
      <xdr:row>4</xdr:row>
      <xdr:rowOff>104775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D1E8570F-D89F-9C92-57E8-1CD9F1BF9349}"/>
            </a:ext>
          </a:extLst>
        </xdr:cNvPr>
        <xdr:cNvCxnSpPr/>
      </xdr:nvCxnSpPr>
      <xdr:spPr>
        <a:xfrm flipV="1">
          <a:off x="4105275" y="781050"/>
          <a:ext cx="409575" cy="95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3</xdr:row>
      <xdr:rowOff>49530</xdr:rowOff>
    </xdr:from>
    <xdr:to>
      <xdr:col>6</xdr:col>
      <xdr:colOff>240030</xdr:colOff>
      <xdr:row>4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92C1014-A694-74FA-B9C8-C90C71AC4CA6}"/>
            </a:ext>
          </a:extLst>
        </xdr:cNvPr>
        <xdr:cNvSpPr/>
      </xdr:nvSpPr>
      <xdr:spPr>
        <a:xfrm>
          <a:off x="4533900" y="640080"/>
          <a:ext cx="449580" cy="2457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 editAs="oneCell">
    <xdr:from>
      <xdr:col>3</xdr:col>
      <xdr:colOff>262890</xdr:colOff>
      <xdr:row>21</xdr:row>
      <xdr:rowOff>47625</xdr:rowOff>
    </xdr:from>
    <xdr:to>
      <xdr:col>8</xdr:col>
      <xdr:colOff>362623</xdr:colOff>
      <xdr:row>33</xdr:row>
      <xdr:rowOff>59359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38C277E-24D6-3A98-8C5E-7FC58FEDC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4190" y="3943350"/>
          <a:ext cx="4820323" cy="2191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668655</xdr:colOff>
      <xdr:row>78</xdr:row>
      <xdr:rowOff>140970</xdr:rowOff>
    </xdr:from>
    <xdr:to>
      <xdr:col>11</xdr:col>
      <xdr:colOff>371723</xdr:colOff>
      <xdr:row>109</xdr:row>
      <xdr:rowOff>162412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86F7A0-A585-3E70-B510-F934EB20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4255" y="14399895"/>
          <a:ext cx="2865368" cy="56316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449580</xdr:colOff>
      <xdr:row>104</xdr:row>
      <xdr:rowOff>123825</xdr:rowOff>
    </xdr:from>
    <xdr:to>
      <xdr:col>4</xdr:col>
      <xdr:colOff>76409</xdr:colOff>
      <xdr:row>106</xdr:row>
      <xdr:rowOff>38124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EE0B905-F267-3744-BCA2-3C321D765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0155" y="19088100"/>
          <a:ext cx="2408129" cy="2762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32E5-CDC2-47E6-93EF-30A8E3FB2AE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8EB2-6CAE-4351-90B3-F43F5B87FAB5}">
  <dimension ref="B2:G96"/>
  <sheetViews>
    <sheetView topLeftCell="A27" zoomScaleNormal="100" workbookViewId="0">
      <selection activeCell="H81" sqref="H81"/>
    </sheetView>
  </sheetViews>
  <sheetFormatPr baseColWidth="10" defaultRowHeight="14.4" x14ac:dyDescent="0.3"/>
  <cols>
    <col min="2" max="2" width="12" bestFit="1" customWidth="1"/>
  </cols>
  <sheetData>
    <row r="2" spans="2:5" ht="18" x14ac:dyDescent="0.35">
      <c r="B2" s="1" t="s">
        <v>0</v>
      </c>
    </row>
    <row r="3" spans="2:5" x14ac:dyDescent="0.3">
      <c r="B3" t="s">
        <v>3</v>
      </c>
    </row>
    <row r="5" spans="2:5" x14ac:dyDescent="0.3">
      <c r="C5" t="s">
        <v>1</v>
      </c>
    </row>
    <row r="6" spans="2:5" x14ac:dyDescent="0.3">
      <c r="C6" t="s">
        <v>2</v>
      </c>
    </row>
    <row r="8" spans="2:5" x14ac:dyDescent="0.3">
      <c r="B8" t="s">
        <v>4</v>
      </c>
    </row>
    <row r="9" spans="2:5" x14ac:dyDescent="0.3">
      <c r="E9" s="2"/>
    </row>
    <row r="10" spans="2:5" x14ac:dyDescent="0.3">
      <c r="E10" s="2"/>
    </row>
    <row r="11" spans="2:5" x14ac:dyDescent="0.3">
      <c r="E11" s="3" t="s">
        <v>15</v>
      </c>
    </row>
    <row r="12" spans="2:5" x14ac:dyDescent="0.3">
      <c r="E12" s="2"/>
    </row>
    <row r="13" spans="2:5" x14ac:dyDescent="0.3">
      <c r="E13" s="2"/>
    </row>
    <row r="14" spans="2:5" x14ac:dyDescent="0.3">
      <c r="E14" s="3" t="s">
        <v>5</v>
      </c>
    </row>
    <row r="15" spans="2:5" x14ac:dyDescent="0.3">
      <c r="E15" s="2"/>
    </row>
    <row r="16" spans="2:5" x14ac:dyDescent="0.3">
      <c r="E16" s="2"/>
    </row>
    <row r="17" spans="5:5" x14ac:dyDescent="0.3">
      <c r="E17" s="3" t="s">
        <v>6</v>
      </c>
    </row>
    <row r="18" spans="5:5" x14ac:dyDescent="0.3">
      <c r="E18" s="2" t="s">
        <v>7</v>
      </c>
    </row>
    <row r="19" spans="5:5" x14ac:dyDescent="0.3">
      <c r="E19" s="2" t="s">
        <v>8</v>
      </c>
    </row>
    <row r="20" spans="5:5" x14ac:dyDescent="0.3">
      <c r="E20" s="2" t="s">
        <v>9</v>
      </c>
    </row>
    <row r="21" spans="5:5" x14ac:dyDescent="0.3">
      <c r="E21" s="2"/>
    </row>
    <row r="22" spans="5:5" x14ac:dyDescent="0.3">
      <c r="E22" s="2"/>
    </row>
    <row r="23" spans="5:5" x14ac:dyDescent="0.3">
      <c r="E23" s="3" t="s">
        <v>10</v>
      </c>
    </row>
    <row r="24" spans="5:5" x14ac:dyDescent="0.3">
      <c r="E24" s="2" t="s">
        <v>11</v>
      </c>
    </row>
    <row r="25" spans="5:5" x14ac:dyDescent="0.3">
      <c r="E25" s="2"/>
    </row>
    <row r="26" spans="5:5" x14ac:dyDescent="0.3">
      <c r="E26" s="3" t="s">
        <v>12</v>
      </c>
    </row>
    <row r="27" spans="5:5" x14ac:dyDescent="0.3">
      <c r="E27" s="2"/>
    </row>
    <row r="28" spans="5:5" x14ac:dyDescent="0.3">
      <c r="E28" s="3" t="s">
        <v>13</v>
      </c>
    </row>
    <row r="29" spans="5:5" x14ac:dyDescent="0.3">
      <c r="E29" s="2"/>
    </row>
    <row r="30" spans="5:5" x14ac:dyDescent="0.3">
      <c r="E30" s="3" t="s">
        <v>14</v>
      </c>
    </row>
    <row r="34" spans="2:7" ht="18" x14ac:dyDescent="0.35">
      <c r="B34" s="1" t="s">
        <v>16</v>
      </c>
    </row>
    <row r="36" spans="2:7" x14ac:dyDescent="0.3">
      <c r="B36" t="s">
        <v>17</v>
      </c>
    </row>
    <row r="37" spans="2:7" x14ac:dyDescent="0.3">
      <c r="B37" t="s">
        <v>18</v>
      </c>
    </row>
    <row r="38" spans="2:7" x14ac:dyDescent="0.3">
      <c r="B38" t="s">
        <v>19</v>
      </c>
    </row>
    <row r="39" spans="2:7" x14ac:dyDescent="0.3">
      <c r="B39" t="s">
        <v>20</v>
      </c>
    </row>
    <row r="41" spans="2:7" x14ac:dyDescent="0.3">
      <c r="B41" t="s">
        <v>21</v>
      </c>
    </row>
    <row r="42" spans="2:7" x14ac:dyDescent="0.3">
      <c r="B42" t="s">
        <v>22</v>
      </c>
    </row>
    <row r="43" spans="2:7" x14ac:dyDescent="0.3">
      <c r="E43" s="5" t="s">
        <v>23</v>
      </c>
      <c r="F43" s="5" t="s">
        <v>24</v>
      </c>
      <c r="G43" s="5" t="s">
        <v>25</v>
      </c>
    </row>
    <row r="46" spans="2:7" x14ac:dyDescent="0.3">
      <c r="B46" t="s">
        <v>26</v>
      </c>
    </row>
    <row r="47" spans="2:7" x14ac:dyDescent="0.3">
      <c r="B47" t="s">
        <v>27</v>
      </c>
    </row>
    <row r="49" spans="2:4" x14ac:dyDescent="0.3">
      <c r="B49" t="s">
        <v>28</v>
      </c>
    </row>
    <row r="50" spans="2:4" x14ac:dyDescent="0.3">
      <c r="B50" t="s">
        <v>29</v>
      </c>
    </row>
    <row r="52" spans="2:4" x14ac:dyDescent="0.3">
      <c r="B52" t="s">
        <v>30</v>
      </c>
    </row>
    <row r="53" spans="2:4" x14ac:dyDescent="0.3">
      <c r="B53" t="s">
        <v>31</v>
      </c>
    </row>
    <row r="54" spans="2:4" x14ac:dyDescent="0.3">
      <c r="B54" t="s">
        <v>32</v>
      </c>
    </row>
    <row r="58" spans="2:4" x14ac:dyDescent="0.3">
      <c r="B58" t="s">
        <v>33</v>
      </c>
    </row>
    <row r="59" spans="2:4" x14ac:dyDescent="0.3">
      <c r="B59" t="s">
        <v>37</v>
      </c>
    </row>
    <row r="61" spans="2:4" x14ac:dyDescent="0.3">
      <c r="B61" t="s">
        <v>34</v>
      </c>
    </row>
    <row r="62" spans="2:4" x14ac:dyDescent="0.3">
      <c r="B62" t="s">
        <v>35</v>
      </c>
    </row>
    <row r="64" spans="2:4" x14ac:dyDescent="0.3">
      <c r="D64" s="4" t="s">
        <v>36</v>
      </c>
    </row>
    <row r="87" spans="2:7" ht="18" x14ac:dyDescent="0.35">
      <c r="B87" s="1" t="s">
        <v>38</v>
      </c>
    </row>
    <row r="90" spans="2:7" x14ac:dyDescent="0.3">
      <c r="B90" t="s">
        <v>39</v>
      </c>
    </row>
    <row r="92" spans="2:7" x14ac:dyDescent="0.3">
      <c r="B92" s="6" t="s">
        <v>40</v>
      </c>
      <c r="C92" s="7"/>
      <c r="D92" s="6" t="s">
        <v>42</v>
      </c>
      <c r="E92" s="7"/>
      <c r="F92" s="6" t="s">
        <v>44</v>
      </c>
      <c r="G92" s="7"/>
    </row>
    <row r="93" spans="2:7" x14ac:dyDescent="0.3">
      <c r="B93" s="8" t="s">
        <v>41</v>
      </c>
      <c r="C93" s="9"/>
      <c r="D93" s="12" t="s">
        <v>43</v>
      </c>
      <c r="E93" s="13"/>
      <c r="F93" s="8" t="s">
        <v>45</v>
      </c>
      <c r="G93" s="9"/>
    </row>
    <row r="94" spans="2:7" x14ac:dyDescent="0.3">
      <c r="B94" s="8"/>
      <c r="C94" s="9"/>
      <c r="D94" s="12"/>
      <c r="E94" s="13"/>
      <c r="F94" s="8"/>
      <c r="G94" s="9"/>
    </row>
    <row r="95" spans="2:7" x14ac:dyDescent="0.3">
      <c r="B95" s="8"/>
      <c r="C95" s="9"/>
      <c r="D95" s="12"/>
      <c r="E95" s="13"/>
      <c r="F95" s="8"/>
      <c r="G95" s="9"/>
    </row>
    <row r="96" spans="2:7" x14ac:dyDescent="0.3">
      <c r="B96" s="10"/>
      <c r="C96" s="11"/>
      <c r="D96" s="14"/>
      <c r="E96" s="15"/>
      <c r="F96" s="10"/>
      <c r="G96" s="11"/>
    </row>
  </sheetData>
  <mergeCells count="6">
    <mergeCell ref="B93:C96"/>
    <mergeCell ref="D93:E96"/>
    <mergeCell ref="B92:C92"/>
    <mergeCell ref="D92:E92"/>
    <mergeCell ref="F92:G92"/>
    <mergeCell ref="F93:G96"/>
  </mergeCells>
  <pageMargins left="0.7" right="0.7" top="0.75" bottom="0.75" header="0.3" footer="0.3"/>
  <pageSetup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2A37-3217-4770-BB51-0BB704D90236}">
  <dimension ref="B2:Q103"/>
  <sheetViews>
    <sheetView tabSelected="1" topLeftCell="A33" workbookViewId="0">
      <selection activeCell="O58" sqref="O58"/>
    </sheetView>
  </sheetViews>
  <sheetFormatPr baseColWidth="10" defaultRowHeight="14.4" x14ac:dyDescent="0.3"/>
  <cols>
    <col min="2" max="2" width="17.5546875" customWidth="1"/>
    <col min="4" max="5" width="11.5546875" customWidth="1"/>
    <col min="6" max="6" width="22.6640625" customWidth="1"/>
  </cols>
  <sheetData>
    <row r="2" spans="2:9" ht="18" x14ac:dyDescent="0.35">
      <c r="B2" s="1" t="s">
        <v>46</v>
      </c>
    </row>
    <row r="4" spans="2:9" x14ac:dyDescent="0.3">
      <c r="B4" t="s">
        <v>47</v>
      </c>
    </row>
    <row r="5" spans="2:9" x14ac:dyDescent="0.3">
      <c r="B5" t="s">
        <v>49</v>
      </c>
    </row>
    <row r="6" spans="2:9" x14ac:dyDescent="0.3">
      <c r="B6" t="s">
        <v>48</v>
      </c>
    </row>
    <row r="10" spans="2:9" x14ac:dyDescent="0.3">
      <c r="B10" s="16" t="s">
        <v>50</v>
      </c>
      <c r="C10" s="17" t="s">
        <v>55</v>
      </c>
      <c r="D10" s="17" t="s">
        <v>56</v>
      </c>
      <c r="E10" s="17" t="s">
        <v>57</v>
      </c>
      <c r="F10" s="17" t="s">
        <v>58</v>
      </c>
      <c r="G10" s="17" t="s">
        <v>59</v>
      </c>
      <c r="H10" s="18" t="s">
        <v>60</v>
      </c>
      <c r="I10" s="25" t="s">
        <v>61</v>
      </c>
    </row>
    <row r="11" spans="2:9" x14ac:dyDescent="0.3">
      <c r="B11" s="19" t="s">
        <v>51</v>
      </c>
      <c r="C11" s="20">
        <v>117.15097817701741</v>
      </c>
      <c r="D11" s="20">
        <v>93.702687318917441</v>
      </c>
      <c r="E11" s="20">
        <v>110.32717236490782</v>
      </c>
      <c r="F11" s="20">
        <v>113.96952246023528</v>
      </c>
      <c r="G11" s="20">
        <v>91.118639344349106</v>
      </c>
      <c r="H11" s="21">
        <v>130.80030768777763</v>
      </c>
      <c r="I11" s="28">
        <f>SUM(C11:H11)</f>
        <v>657.06930735320464</v>
      </c>
    </row>
    <row r="12" spans="2:9" x14ac:dyDescent="0.3">
      <c r="B12" s="19" t="s">
        <v>52</v>
      </c>
      <c r="C12" s="20">
        <v>116.30983483219933</v>
      </c>
      <c r="D12" s="20">
        <v>144.12026798689888</v>
      </c>
      <c r="E12" s="20">
        <v>94.756956949138868</v>
      </c>
      <c r="F12" s="20">
        <v>78.617062086146802</v>
      </c>
      <c r="G12" s="20">
        <v>82.244373379084038</v>
      </c>
      <c r="H12" s="21">
        <v>87.923421612885463</v>
      </c>
      <c r="I12" s="28">
        <f>SUM(C12:H12)</f>
        <v>603.97191684635345</v>
      </c>
    </row>
    <row r="13" spans="2:9" x14ac:dyDescent="0.3">
      <c r="B13" s="22" t="s">
        <v>53</v>
      </c>
      <c r="C13" s="23">
        <v>86.072313579708734</v>
      </c>
      <c r="D13" s="23">
        <v>99.627448290014371</v>
      </c>
      <c r="E13" s="23">
        <v>132.18139582965841</v>
      </c>
      <c r="F13" s="23">
        <v>91.97915336553524</v>
      </c>
      <c r="G13" s="23">
        <v>161.81486092996224</v>
      </c>
      <c r="H13" s="24">
        <v>73.152910394508893</v>
      </c>
      <c r="I13" s="28">
        <f>SUM(C13:H13)</f>
        <v>644.82808238938787</v>
      </c>
    </row>
    <row r="14" spans="2:9" x14ac:dyDescent="0.3">
      <c r="B14" s="26" t="s">
        <v>54</v>
      </c>
      <c r="C14" s="27">
        <f>MAX(C11:C13)</f>
        <v>117.15097817701741</v>
      </c>
      <c r="D14" s="27">
        <f t="shared" ref="D14:H14" si="0">MAX(D11:D13)</f>
        <v>144.12026798689888</v>
      </c>
      <c r="E14" s="27">
        <f t="shared" si="0"/>
        <v>132.18139582965841</v>
      </c>
      <c r="F14" s="27">
        <f t="shared" si="0"/>
        <v>113.96952246023528</v>
      </c>
      <c r="G14" s="27">
        <f t="shared" si="0"/>
        <v>161.81486092996224</v>
      </c>
      <c r="H14" s="27">
        <f t="shared" si="0"/>
        <v>130.80030768777763</v>
      </c>
    </row>
    <row r="17" spans="2:17" ht="18" x14ac:dyDescent="0.35">
      <c r="B17" s="1" t="s">
        <v>62</v>
      </c>
    </row>
    <row r="19" spans="2:17" x14ac:dyDescent="0.3">
      <c r="B19" t="s">
        <v>63</v>
      </c>
    </row>
    <row r="20" spans="2:17" x14ac:dyDescent="0.3">
      <c r="B20" t="s">
        <v>64</v>
      </c>
    </row>
    <row r="22" spans="2:17" x14ac:dyDescent="0.3">
      <c r="B22" s="4" t="s">
        <v>65</v>
      </c>
    </row>
    <row r="23" spans="2:17" x14ac:dyDescent="0.3">
      <c r="B23" s="4"/>
      <c r="Q23" t="s">
        <v>69</v>
      </c>
    </row>
    <row r="24" spans="2:17" x14ac:dyDescent="0.3">
      <c r="B24" s="4" t="s">
        <v>66</v>
      </c>
      <c r="Q24" t="s">
        <v>70</v>
      </c>
    </row>
    <row r="25" spans="2:17" x14ac:dyDescent="0.3">
      <c r="B25" s="4"/>
      <c r="Q25" t="s">
        <v>71</v>
      </c>
    </row>
    <row r="26" spans="2:17" x14ac:dyDescent="0.3">
      <c r="B26" s="4" t="s">
        <v>67</v>
      </c>
      <c r="Q26" t="s">
        <v>72</v>
      </c>
    </row>
    <row r="27" spans="2:17" x14ac:dyDescent="0.3">
      <c r="B27" s="4"/>
    </row>
    <row r="28" spans="2:17" x14ac:dyDescent="0.3">
      <c r="B28" s="4" t="s">
        <v>68</v>
      </c>
    </row>
    <row r="36" spans="2:14" ht="18" x14ac:dyDescent="0.35">
      <c r="B36" s="1" t="s">
        <v>73</v>
      </c>
    </row>
    <row r="38" spans="2:14" x14ac:dyDescent="0.3">
      <c r="B38" t="s">
        <v>74</v>
      </c>
    </row>
    <row r="39" spans="2:14" x14ac:dyDescent="0.3">
      <c r="B39" t="s">
        <v>75</v>
      </c>
    </row>
    <row r="41" spans="2:14" x14ac:dyDescent="0.3">
      <c r="B41" s="29" t="s">
        <v>76</v>
      </c>
      <c r="C41" s="30" t="s">
        <v>77</v>
      </c>
      <c r="D41" s="30" t="s">
        <v>78</v>
      </c>
      <c r="E41" s="30" t="s">
        <v>143</v>
      </c>
      <c r="F41" s="30" t="s">
        <v>82</v>
      </c>
      <c r="G41" s="30" t="s">
        <v>79</v>
      </c>
      <c r="H41" s="30" t="s">
        <v>80</v>
      </c>
      <c r="I41" s="31" t="s">
        <v>81</v>
      </c>
      <c r="M41" t="s">
        <v>122</v>
      </c>
      <c r="N41" t="s">
        <v>132</v>
      </c>
    </row>
    <row r="42" spans="2:14" x14ac:dyDescent="0.3">
      <c r="B42" s="32" t="s">
        <v>83</v>
      </c>
      <c r="C42" s="33" t="s">
        <v>112</v>
      </c>
      <c r="D42" s="33" t="s">
        <v>117</v>
      </c>
      <c r="E42" s="34" t="s">
        <v>122</v>
      </c>
      <c r="F42" s="33" t="str">
        <f>VLOOKUP(E42,$M$41:$N$51,2,FALSE)</f>
        <v>Automne 2020</v>
      </c>
      <c r="G42" s="33">
        <v>99</v>
      </c>
      <c r="H42" s="33">
        <v>93</v>
      </c>
      <c r="I42" s="35">
        <v>72</v>
      </c>
      <c r="M42" t="s">
        <v>123</v>
      </c>
      <c r="N42" t="s">
        <v>138</v>
      </c>
    </row>
    <row r="43" spans="2:14" x14ac:dyDescent="0.3">
      <c r="B43" s="32" t="s">
        <v>84</v>
      </c>
      <c r="C43" s="33" t="s">
        <v>107</v>
      </c>
      <c r="D43" s="33" t="s">
        <v>118</v>
      </c>
      <c r="E43" s="34" t="s">
        <v>124</v>
      </c>
      <c r="F43" s="33" t="str">
        <f t="shared" ref="F43:F66" si="1">VLOOKUP(E43,$M$41:$N$51,2,FALSE)</f>
        <v>Automne 2021</v>
      </c>
      <c r="G43" s="33">
        <v>65</v>
      </c>
      <c r="H43" s="33">
        <v>51</v>
      </c>
      <c r="I43" s="35">
        <v>94</v>
      </c>
      <c r="M43" t="s">
        <v>124</v>
      </c>
      <c r="N43" t="s">
        <v>133</v>
      </c>
    </row>
    <row r="44" spans="2:14" x14ac:dyDescent="0.3">
      <c r="B44" s="32" t="s">
        <v>85</v>
      </c>
      <c r="C44" s="33" t="s">
        <v>111</v>
      </c>
      <c r="D44" s="33" t="s">
        <v>119</v>
      </c>
      <c r="E44" s="34" t="s">
        <v>123</v>
      </c>
      <c r="F44" s="33" t="str">
        <f t="shared" si="1"/>
        <v>Hiver 2020</v>
      </c>
      <c r="G44" s="33">
        <v>69</v>
      </c>
      <c r="H44" s="33">
        <v>98</v>
      </c>
      <c r="I44" s="35">
        <v>66</v>
      </c>
      <c r="M44" t="s">
        <v>125</v>
      </c>
      <c r="N44" t="s">
        <v>139</v>
      </c>
    </row>
    <row r="45" spans="2:14" x14ac:dyDescent="0.3">
      <c r="B45" s="32" t="s">
        <v>86</v>
      </c>
      <c r="C45" s="33" t="s">
        <v>114</v>
      </c>
      <c r="D45" s="33" t="s">
        <v>117</v>
      </c>
      <c r="E45" s="34" t="s">
        <v>122</v>
      </c>
      <c r="F45" s="33" t="str">
        <f t="shared" si="1"/>
        <v>Automne 2020</v>
      </c>
      <c r="G45" s="33">
        <v>80</v>
      </c>
      <c r="H45" s="33">
        <v>71</v>
      </c>
      <c r="I45" s="35">
        <v>83</v>
      </c>
      <c r="M45" t="s">
        <v>126</v>
      </c>
      <c r="N45" t="s">
        <v>134</v>
      </c>
    </row>
    <row r="46" spans="2:14" x14ac:dyDescent="0.3">
      <c r="B46" s="32" t="s">
        <v>87</v>
      </c>
      <c r="C46" s="33" t="s">
        <v>111</v>
      </c>
      <c r="D46" s="33" t="s">
        <v>118</v>
      </c>
      <c r="E46" s="34" t="s">
        <v>123</v>
      </c>
      <c r="F46" s="33" t="str">
        <f t="shared" si="1"/>
        <v>Hiver 2020</v>
      </c>
      <c r="G46" s="33">
        <v>62</v>
      </c>
      <c r="H46" s="33">
        <v>84</v>
      </c>
      <c r="I46" s="35">
        <v>89</v>
      </c>
      <c r="M46" t="s">
        <v>127</v>
      </c>
      <c r="N46" t="s">
        <v>140</v>
      </c>
    </row>
    <row r="47" spans="2:14" x14ac:dyDescent="0.3">
      <c r="B47" s="32" t="s">
        <v>88</v>
      </c>
      <c r="C47" s="33" t="s">
        <v>108</v>
      </c>
      <c r="D47" s="33" t="s">
        <v>119</v>
      </c>
      <c r="E47" s="34" t="s">
        <v>123</v>
      </c>
      <c r="F47" s="33" t="str">
        <f t="shared" si="1"/>
        <v>Hiver 2020</v>
      </c>
      <c r="G47" s="33">
        <v>88</v>
      </c>
      <c r="H47" s="33">
        <v>71</v>
      </c>
      <c r="I47" s="35">
        <v>61</v>
      </c>
      <c r="M47" t="s">
        <v>128</v>
      </c>
      <c r="N47" t="s">
        <v>135</v>
      </c>
    </row>
    <row r="48" spans="2:14" x14ac:dyDescent="0.3">
      <c r="B48" s="32" t="s">
        <v>89</v>
      </c>
      <c r="C48" s="33" t="s">
        <v>113</v>
      </c>
      <c r="D48" s="33" t="s">
        <v>110</v>
      </c>
      <c r="E48" s="34" t="s">
        <v>131</v>
      </c>
      <c r="F48" s="33" t="str">
        <f t="shared" si="1"/>
        <v>Hiver 2024</v>
      </c>
      <c r="G48" s="33">
        <v>65</v>
      </c>
      <c r="H48" s="33">
        <v>71</v>
      </c>
      <c r="I48" s="35">
        <v>84</v>
      </c>
      <c r="M48" t="s">
        <v>129</v>
      </c>
      <c r="N48" t="s">
        <v>141</v>
      </c>
    </row>
    <row r="49" spans="2:14" x14ac:dyDescent="0.3">
      <c r="B49" s="32" t="s">
        <v>90</v>
      </c>
      <c r="C49" s="33" t="s">
        <v>112</v>
      </c>
      <c r="D49" s="33" t="s">
        <v>110</v>
      </c>
      <c r="E49" s="34" t="s">
        <v>126</v>
      </c>
      <c r="F49" s="33" t="str">
        <f t="shared" si="1"/>
        <v>Automne 2022</v>
      </c>
      <c r="G49" s="33">
        <v>86</v>
      </c>
      <c r="H49" s="33">
        <v>65</v>
      </c>
      <c r="I49" s="35">
        <v>51</v>
      </c>
      <c r="M49" t="s">
        <v>130</v>
      </c>
      <c r="N49" t="s">
        <v>136</v>
      </c>
    </row>
    <row r="50" spans="2:14" x14ac:dyDescent="0.3">
      <c r="B50" s="32" t="s">
        <v>91</v>
      </c>
      <c r="C50" s="33" t="s">
        <v>113</v>
      </c>
      <c r="D50" s="33" t="s">
        <v>117</v>
      </c>
      <c r="E50" s="34" t="s">
        <v>127</v>
      </c>
      <c r="F50" s="33" t="str">
        <f t="shared" si="1"/>
        <v>Hiver 2022</v>
      </c>
      <c r="G50" s="33">
        <v>72</v>
      </c>
      <c r="H50" s="33">
        <v>96</v>
      </c>
      <c r="I50" s="35">
        <v>85</v>
      </c>
      <c r="M50" t="s">
        <v>131</v>
      </c>
      <c r="N50" t="s">
        <v>142</v>
      </c>
    </row>
    <row r="51" spans="2:14" x14ac:dyDescent="0.3">
      <c r="B51" s="32" t="s">
        <v>92</v>
      </c>
      <c r="C51" s="33" t="s">
        <v>107</v>
      </c>
      <c r="D51" s="33" t="s">
        <v>119</v>
      </c>
      <c r="E51" s="34" t="s">
        <v>128</v>
      </c>
      <c r="F51" s="33" t="str">
        <f t="shared" si="1"/>
        <v>Automne 2023</v>
      </c>
      <c r="G51" s="33">
        <v>53</v>
      </c>
      <c r="H51" s="33">
        <v>85</v>
      </c>
      <c r="I51" s="35">
        <v>58</v>
      </c>
      <c r="M51" t="s">
        <v>121</v>
      </c>
      <c r="N51" t="s">
        <v>137</v>
      </c>
    </row>
    <row r="52" spans="2:14" x14ac:dyDescent="0.3">
      <c r="B52" s="32" t="s">
        <v>93</v>
      </c>
      <c r="C52" s="33" t="s">
        <v>115</v>
      </c>
      <c r="D52" s="33" t="s">
        <v>120</v>
      </c>
      <c r="E52" s="34" t="s">
        <v>125</v>
      </c>
      <c r="F52" s="33" t="str">
        <f t="shared" si="1"/>
        <v>Hiver 2021</v>
      </c>
      <c r="G52" s="33">
        <v>78</v>
      </c>
      <c r="H52" s="33">
        <v>100</v>
      </c>
      <c r="I52" s="35">
        <v>64</v>
      </c>
    </row>
    <row r="53" spans="2:14" x14ac:dyDescent="0.3">
      <c r="B53" s="32" t="s">
        <v>109</v>
      </c>
      <c r="C53" s="33" t="s">
        <v>108</v>
      </c>
      <c r="D53" s="33" t="s">
        <v>110</v>
      </c>
      <c r="E53" s="34" t="s">
        <v>126</v>
      </c>
      <c r="F53" s="33" t="str">
        <f t="shared" si="1"/>
        <v>Automne 2022</v>
      </c>
      <c r="G53" s="33">
        <v>100</v>
      </c>
      <c r="H53" s="33">
        <v>97</v>
      </c>
      <c r="I53" s="35">
        <v>99</v>
      </c>
    </row>
    <row r="54" spans="2:14" x14ac:dyDescent="0.3">
      <c r="B54" s="32" t="s">
        <v>94</v>
      </c>
      <c r="C54" s="33" t="s">
        <v>115</v>
      </c>
      <c r="D54" s="33" t="s">
        <v>120</v>
      </c>
      <c r="E54" s="34" t="s">
        <v>130</v>
      </c>
      <c r="F54" s="33" t="str">
        <f t="shared" si="1"/>
        <v>Automne 2024</v>
      </c>
      <c r="G54" s="33">
        <v>69</v>
      </c>
      <c r="H54" s="33">
        <v>62</v>
      </c>
      <c r="I54" s="35">
        <v>81</v>
      </c>
    </row>
    <row r="55" spans="2:14" x14ac:dyDescent="0.3">
      <c r="B55" s="32" t="s">
        <v>95</v>
      </c>
      <c r="C55" s="33" t="s">
        <v>116</v>
      </c>
      <c r="D55" s="33" t="s">
        <v>118</v>
      </c>
      <c r="E55" s="34" t="s">
        <v>131</v>
      </c>
      <c r="F55" s="33" t="str">
        <f t="shared" si="1"/>
        <v>Hiver 2024</v>
      </c>
      <c r="G55" s="33">
        <v>53</v>
      </c>
      <c r="H55" s="33">
        <v>71</v>
      </c>
      <c r="I55" s="35">
        <v>88</v>
      </c>
    </row>
    <row r="56" spans="2:14" x14ac:dyDescent="0.3">
      <c r="B56" s="32" t="s">
        <v>96</v>
      </c>
      <c r="C56" s="33" t="s">
        <v>113</v>
      </c>
      <c r="D56" s="33" t="s">
        <v>120</v>
      </c>
      <c r="E56" s="34" t="s">
        <v>124</v>
      </c>
      <c r="F56" s="33" t="str">
        <f t="shared" si="1"/>
        <v>Automne 2021</v>
      </c>
      <c r="G56" s="33">
        <v>73</v>
      </c>
      <c r="H56" s="33">
        <v>78</v>
      </c>
      <c r="I56" s="35">
        <v>76</v>
      </c>
    </row>
    <row r="57" spans="2:14" x14ac:dyDescent="0.3">
      <c r="B57" s="32" t="s">
        <v>97</v>
      </c>
      <c r="C57" s="33" t="s">
        <v>111</v>
      </c>
      <c r="D57" s="33" t="s">
        <v>117</v>
      </c>
      <c r="E57" s="34" t="s">
        <v>128</v>
      </c>
      <c r="F57" s="33" t="str">
        <f t="shared" si="1"/>
        <v>Automne 2023</v>
      </c>
      <c r="G57" s="33">
        <v>78</v>
      </c>
      <c r="H57" s="33">
        <v>56</v>
      </c>
      <c r="I57" s="35">
        <v>62</v>
      </c>
    </row>
    <row r="58" spans="2:14" x14ac:dyDescent="0.3">
      <c r="B58" s="32" t="s">
        <v>98</v>
      </c>
      <c r="C58" s="33" t="s">
        <v>111</v>
      </c>
      <c r="D58" s="33" t="s">
        <v>120</v>
      </c>
      <c r="E58" s="34" t="s">
        <v>131</v>
      </c>
      <c r="F58" s="33" t="str">
        <f t="shared" si="1"/>
        <v>Hiver 2024</v>
      </c>
      <c r="G58" s="33">
        <v>73</v>
      </c>
      <c r="H58" s="33">
        <v>70</v>
      </c>
      <c r="I58" s="35">
        <v>85</v>
      </c>
    </row>
    <row r="59" spans="2:14" x14ac:dyDescent="0.3">
      <c r="B59" s="32" t="s">
        <v>99</v>
      </c>
      <c r="C59" s="33" t="s">
        <v>114</v>
      </c>
      <c r="D59" s="33" t="s">
        <v>117</v>
      </c>
      <c r="E59" s="34" t="s">
        <v>122</v>
      </c>
      <c r="F59" s="33" t="str">
        <f t="shared" si="1"/>
        <v>Automne 2020</v>
      </c>
      <c r="G59" s="33">
        <v>54</v>
      </c>
      <c r="H59" s="33">
        <v>99</v>
      </c>
      <c r="I59" s="35">
        <v>85</v>
      </c>
    </row>
    <row r="60" spans="2:14" x14ac:dyDescent="0.3">
      <c r="B60" s="32" t="s">
        <v>100</v>
      </c>
      <c r="C60" s="33" t="s">
        <v>108</v>
      </c>
      <c r="D60" s="33" t="s">
        <v>119</v>
      </c>
      <c r="E60" s="34" t="s">
        <v>121</v>
      </c>
      <c r="F60" s="33" t="str">
        <f t="shared" si="1"/>
        <v>Automne 2025</v>
      </c>
      <c r="G60" s="33">
        <v>96</v>
      </c>
      <c r="H60" s="33">
        <v>86</v>
      </c>
      <c r="I60" s="35">
        <v>100</v>
      </c>
    </row>
    <row r="61" spans="2:14" x14ac:dyDescent="0.3">
      <c r="B61" s="32" t="s">
        <v>101</v>
      </c>
      <c r="C61" s="33" t="s">
        <v>116</v>
      </c>
      <c r="D61" s="33" t="s">
        <v>118</v>
      </c>
      <c r="E61" s="34" t="s">
        <v>128</v>
      </c>
      <c r="F61" s="33" t="str">
        <f t="shared" si="1"/>
        <v>Automne 2023</v>
      </c>
      <c r="G61" s="33">
        <v>76</v>
      </c>
      <c r="H61" s="33">
        <v>85</v>
      </c>
      <c r="I61" s="35">
        <v>91</v>
      </c>
    </row>
    <row r="62" spans="2:14" x14ac:dyDescent="0.3">
      <c r="B62" s="32" t="s">
        <v>106</v>
      </c>
      <c r="C62" s="33" t="s">
        <v>114</v>
      </c>
      <c r="D62" s="33" t="s">
        <v>120</v>
      </c>
      <c r="E62" s="34" t="s">
        <v>129</v>
      </c>
      <c r="F62" s="33" t="str">
        <f t="shared" si="1"/>
        <v>Hiver 2023</v>
      </c>
      <c r="G62" s="33">
        <v>63</v>
      </c>
      <c r="H62" s="33">
        <v>51</v>
      </c>
      <c r="I62" s="35">
        <v>91</v>
      </c>
    </row>
    <row r="63" spans="2:14" x14ac:dyDescent="0.3">
      <c r="B63" s="32" t="s">
        <v>105</v>
      </c>
      <c r="C63" s="33" t="s">
        <v>115</v>
      </c>
      <c r="D63" s="33" t="s">
        <v>110</v>
      </c>
      <c r="E63" s="34" t="s">
        <v>127</v>
      </c>
      <c r="F63" s="33" t="str">
        <f t="shared" si="1"/>
        <v>Hiver 2022</v>
      </c>
      <c r="G63" s="33">
        <v>80</v>
      </c>
      <c r="H63" s="33">
        <v>71</v>
      </c>
      <c r="I63" s="35">
        <v>80</v>
      </c>
    </row>
    <row r="64" spans="2:14" x14ac:dyDescent="0.3">
      <c r="B64" s="32" t="s">
        <v>104</v>
      </c>
      <c r="C64" s="33" t="s">
        <v>108</v>
      </c>
      <c r="D64" s="33" t="s">
        <v>117</v>
      </c>
      <c r="E64" s="34" t="s">
        <v>122</v>
      </c>
      <c r="F64" s="33" t="str">
        <f t="shared" si="1"/>
        <v>Automne 2020</v>
      </c>
      <c r="G64" s="33">
        <v>55</v>
      </c>
      <c r="H64" s="33">
        <v>92</v>
      </c>
      <c r="I64" s="35">
        <v>75</v>
      </c>
    </row>
    <row r="65" spans="2:9" x14ac:dyDescent="0.3">
      <c r="B65" s="32" t="s">
        <v>103</v>
      </c>
      <c r="C65" s="33" t="s">
        <v>116</v>
      </c>
      <c r="D65" s="33" t="s">
        <v>118</v>
      </c>
      <c r="E65" s="34" t="s">
        <v>127</v>
      </c>
      <c r="F65" s="33" t="str">
        <f t="shared" si="1"/>
        <v>Hiver 2022</v>
      </c>
      <c r="G65" s="33">
        <v>88</v>
      </c>
      <c r="H65" s="33">
        <v>98</v>
      </c>
      <c r="I65" s="35">
        <v>91</v>
      </c>
    </row>
    <row r="66" spans="2:9" x14ac:dyDescent="0.3">
      <c r="B66" s="36" t="s">
        <v>102</v>
      </c>
      <c r="C66" s="37" t="s">
        <v>116</v>
      </c>
      <c r="D66" s="37" t="s">
        <v>119</v>
      </c>
      <c r="E66" s="38" t="s">
        <v>124</v>
      </c>
      <c r="F66" s="37" t="str">
        <f t="shared" si="1"/>
        <v>Automne 2021</v>
      </c>
      <c r="G66" s="37">
        <v>65</v>
      </c>
      <c r="H66" s="37">
        <v>51</v>
      </c>
      <c r="I66" s="39">
        <v>94</v>
      </c>
    </row>
    <row r="69" spans="2:9" x14ac:dyDescent="0.3">
      <c r="B69" t="s">
        <v>144</v>
      </c>
    </row>
    <row r="71" spans="2:9" x14ac:dyDescent="0.3">
      <c r="C71" t="s">
        <v>145</v>
      </c>
    </row>
    <row r="72" spans="2:9" x14ac:dyDescent="0.3">
      <c r="C72" t="s">
        <v>146</v>
      </c>
    </row>
    <row r="73" spans="2:9" x14ac:dyDescent="0.3">
      <c r="C73" t="s">
        <v>147</v>
      </c>
    </row>
    <row r="75" spans="2:9" x14ac:dyDescent="0.3">
      <c r="B75" t="s">
        <v>148</v>
      </c>
    </row>
    <row r="78" spans="2:9" x14ac:dyDescent="0.3">
      <c r="B78" t="s">
        <v>149</v>
      </c>
    </row>
    <row r="80" spans="2:9" x14ac:dyDescent="0.3">
      <c r="B80" t="s">
        <v>150</v>
      </c>
    </row>
    <row r="81" spans="2:2" x14ac:dyDescent="0.3">
      <c r="B81" t="s">
        <v>151</v>
      </c>
    </row>
    <row r="82" spans="2:2" x14ac:dyDescent="0.3">
      <c r="B82" t="s">
        <v>152</v>
      </c>
    </row>
    <row r="85" spans="2:2" x14ac:dyDescent="0.3">
      <c r="B85" t="s">
        <v>153</v>
      </c>
    </row>
    <row r="86" spans="2:2" x14ac:dyDescent="0.3">
      <c r="B86" t="s">
        <v>154</v>
      </c>
    </row>
    <row r="87" spans="2:2" x14ac:dyDescent="0.3">
      <c r="B87" t="s">
        <v>155</v>
      </c>
    </row>
    <row r="88" spans="2:2" x14ac:dyDescent="0.3">
      <c r="B88" t="s">
        <v>156</v>
      </c>
    </row>
    <row r="90" spans="2:2" x14ac:dyDescent="0.3">
      <c r="B90" t="s">
        <v>157</v>
      </c>
    </row>
    <row r="91" spans="2:2" x14ac:dyDescent="0.3">
      <c r="B91" t="s">
        <v>159</v>
      </c>
    </row>
    <row r="92" spans="2:2" x14ac:dyDescent="0.3">
      <c r="B92" t="s">
        <v>158</v>
      </c>
    </row>
    <row r="94" spans="2:2" x14ac:dyDescent="0.3">
      <c r="B94" t="s">
        <v>160</v>
      </c>
    </row>
    <row r="95" spans="2:2" x14ac:dyDescent="0.3">
      <c r="B95" t="s">
        <v>161</v>
      </c>
    </row>
    <row r="97" spans="2:2" x14ac:dyDescent="0.3">
      <c r="B97" t="s">
        <v>162</v>
      </c>
    </row>
    <row r="98" spans="2:2" x14ac:dyDescent="0.3">
      <c r="B98" t="s">
        <v>163</v>
      </c>
    </row>
    <row r="99" spans="2:2" x14ac:dyDescent="0.3">
      <c r="B99" t="s">
        <v>164</v>
      </c>
    </row>
    <row r="102" spans="2:2" x14ac:dyDescent="0.3">
      <c r="B102" t="s">
        <v>165</v>
      </c>
    </row>
    <row r="103" spans="2:2" x14ac:dyDescent="0.3">
      <c r="B103" t="s">
        <v>166</v>
      </c>
    </row>
  </sheetData>
  <phoneticPr fontId="5" type="noConversion"/>
  <dataValidations count="1">
    <dataValidation type="list" allowBlank="1" showInputMessage="1" showErrorMessage="1" sqref="E42:E66" xr:uid="{78B1EB29-F098-46FF-B8CD-596DE20F897C}">
      <formula1>$M$41:$M$51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IMPROVISATION</vt:lpstr>
      <vt:lpstr>Mise en page impression</vt:lpstr>
      <vt:lpstr>Tableau croisé dynamique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Rousseau</dc:creator>
  <cp:lastModifiedBy>Sébastien Rousseau</cp:lastModifiedBy>
  <cp:lastPrinted>2025-09-24T13:48:12Z</cp:lastPrinted>
  <dcterms:created xsi:type="dcterms:W3CDTF">2025-09-24T13:21:12Z</dcterms:created>
  <dcterms:modified xsi:type="dcterms:W3CDTF">2025-09-24T15:04:28Z</dcterms:modified>
</cp:coreProperties>
</file>