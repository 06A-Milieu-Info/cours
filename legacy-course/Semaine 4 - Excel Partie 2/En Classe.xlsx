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4\"/>
    </mc:Choice>
  </mc:AlternateContent>
  <xr:revisionPtr revIDLastSave="0" documentId="13_ncr:1_{7CF0D5EA-C092-4C31-A743-4F3660B4452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MPROVISATION" sheetId="1" r:id="rId1"/>
    <sheet name="Formules de base" sheetId="2" r:id="rId2"/>
    <sheet name="Fonctions cond. et logiques" sheetId="3" r:id="rId3"/>
    <sheet name="Fonctions de date" sheetId="4" r:id="rId4"/>
    <sheet name="Graphiqu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4" l="1"/>
  <c r="L27" i="4"/>
  <c r="L28" i="4"/>
  <c r="L25" i="4"/>
  <c r="K26" i="4"/>
  <c r="K27" i="4"/>
  <c r="K28" i="4"/>
  <c r="K29" i="4"/>
  <c r="K25" i="4"/>
  <c r="J26" i="4"/>
  <c r="J27" i="4"/>
  <c r="J28" i="4"/>
  <c r="J29" i="4"/>
  <c r="J25" i="4"/>
  <c r="I26" i="4"/>
  <c r="I27" i="4"/>
  <c r="I28" i="4"/>
  <c r="I29" i="4"/>
  <c r="L29" i="4" s="1"/>
  <c r="I25" i="4"/>
  <c r="H25" i="4" a="1"/>
  <c r="H25" i="4" s="1"/>
  <c r="E25" i="4" a="1"/>
  <c r="E25" i="4" s="1"/>
  <c r="B31" i="4"/>
  <c r="D25" i="4" a="1"/>
  <c r="D25" i="4" s="1"/>
  <c r="C26" i="4"/>
  <c r="C27" i="4"/>
  <c r="C28" i="4"/>
  <c r="C29" i="4"/>
  <c r="C25" i="4"/>
  <c r="G16" i="4"/>
  <c r="G17" i="4"/>
  <c r="G18" i="4"/>
  <c r="G19" i="4"/>
  <c r="E16" i="4"/>
  <c r="F16" i="4" s="1"/>
  <c r="E17" i="4"/>
  <c r="F17" i="4" s="1"/>
  <c r="E18" i="4"/>
  <c r="F18" i="4" s="1"/>
  <c r="E19" i="4"/>
  <c r="F19" i="4" s="1"/>
  <c r="E15" i="4"/>
  <c r="G15" i="4" s="1"/>
  <c r="H59" i="3"/>
  <c r="H51" i="3"/>
  <c r="H52" i="3"/>
  <c r="H53" i="3"/>
  <c r="H54" i="3"/>
  <c r="H55" i="3"/>
  <c r="H56" i="3"/>
  <c r="H57" i="3"/>
  <c r="H50" i="3"/>
  <c r="C42" i="3"/>
  <c r="D42" i="3"/>
  <c r="E42" i="3"/>
  <c r="F42" i="3"/>
  <c r="B42" i="3"/>
  <c r="D27" i="3"/>
  <c r="D17" i="3"/>
  <c r="E7" i="3"/>
  <c r="C19" i="2"/>
  <c r="B19" i="2"/>
  <c r="G11" i="2"/>
  <c r="F11" i="2"/>
  <c r="D10" i="2"/>
  <c r="D9" i="2"/>
  <c r="F15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<sst xmlns="http://schemas.openxmlformats.org/spreadsheetml/2006/main" count="129" uniqueCount="110">
  <si>
    <t>Recopier une formule en série</t>
  </si>
  <si>
    <r>
      <t xml:space="preserve">Quand vous recopier une formule, elle s'adaptera au </t>
    </r>
    <r>
      <rPr>
        <b/>
        <sz val="11"/>
        <color theme="1"/>
        <rFont val="Calibri"/>
        <family val="2"/>
        <scheme val="minor"/>
      </rPr>
      <t>sens de la recopie</t>
    </r>
    <r>
      <rPr>
        <sz val="11"/>
        <color theme="1"/>
        <rFont val="Calibri"/>
        <family val="2"/>
        <scheme val="minor"/>
      </rPr>
      <t>.</t>
    </r>
  </si>
  <si>
    <r>
      <t xml:space="preserve">Si vous avez une formule du genre B8 + C8, alors tirer vers le bas (donc dans le sens des </t>
    </r>
    <r>
      <rPr>
        <b/>
        <sz val="11"/>
        <color theme="1"/>
        <rFont val="Calibri"/>
        <family val="2"/>
        <scheme val="minor"/>
      </rPr>
      <t>lignes</t>
    </r>
    <r>
      <rPr>
        <sz val="11"/>
        <color theme="1"/>
        <rFont val="Calibri"/>
        <family val="2"/>
        <scheme val="minor"/>
      </rPr>
      <t xml:space="preserve">) va faire incrémenter les </t>
    </r>
    <r>
      <rPr>
        <b/>
        <sz val="11"/>
        <color theme="1"/>
        <rFont val="Calibri"/>
        <family val="2"/>
        <scheme val="minor"/>
      </rPr>
      <t>chiffres</t>
    </r>
    <r>
      <rPr>
        <sz val="11"/>
        <color theme="1"/>
        <rFont val="Calibri"/>
        <family val="2"/>
        <scheme val="minor"/>
      </rPr>
      <t>.</t>
    </r>
  </si>
  <si>
    <r>
      <t xml:space="preserve">Si vous avez une formule du genre F9 + F10, alors tirer vers la droite (donc dans le sens des </t>
    </r>
    <r>
      <rPr>
        <b/>
        <sz val="11"/>
        <color theme="1"/>
        <rFont val="Calibri"/>
        <family val="2"/>
        <scheme val="minor"/>
      </rPr>
      <t>colonnes</t>
    </r>
    <r>
      <rPr>
        <sz val="11"/>
        <color theme="1"/>
        <rFont val="Calibri"/>
        <family val="2"/>
        <scheme val="minor"/>
      </rPr>
      <t xml:space="preserve">) va faire incrémenter les </t>
    </r>
    <r>
      <rPr>
        <b/>
        <sz val="11"/>
        <color theme="1"/>
        <rFont val="Calibri"/>
        <family val="2"/>
        <scheme val="minor"/>
      </rPr>
      <t>lettres</t>
    </r>
    <r>
      <rPr>
        <sz val="11"/>
        <color theme="1"/>
        <rFont val="Calibri"/>
        <family val="2"/>
        <scheme val="minor"/>
      </rPr>
      <t>.</t>
    </r>
  </si>
  <si>
    <t xml:space="preserve">Exemple : </t>
  </si>
  <si>
    <r>
      <t>=B17+B18*</t>
    </r>
    <r>
      <rPr>
        <b/>
        <sz val="11"/>
        <color rgb="FFFF0000"/>
        <rFont val="Calibri"/>
        <family val="2"/>
        <scheme val="minor"/>
      </rPr>
      <t>$A$1</t>
    </r>
  </si>
  <si>
    <t>Le raccourci "F4" permet d'effectuer ceci rapidement.</t>
  </si>
  <si>
    <r>
      <t xml:space="preserve">Parfois, il est souhaitable de </t>
    </r>
    <r>
      <rPr>
        <b/>
        <sz val="11"/>
        <color theme="1"/>
        <rFont val="Calibri"/>
        <family val="2"/>
        <scheme val="minor"/>
      </rPr>
      <t>figer la référence</t>
    </r>
    <r>
      <rPr>
        <sz val="11"/>
        <color theme="1"/>
        <rFont val="Calibri"/>
        <family val="2"/>
        <scheme val="minor"/>
      </rPr>
      <t xml:space="preserve"> d'une cellule de la fonction. On fait ceci avec le symbole de dollars " </t>
    </r>
    <r>
      <rPr>
        <b/>
        <sz val="11"/>
        <color theme="1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 " placé en préfixe.</t>
    </r>
  </si>
  <si>
    <t>Insérer des fonctions</t>
  </si>
  <si>
    <t xml:space="preserve">La syntaxe à suivre est </t>
  </si>
  <si>
    <t>=nom_fonction(param1 ; params 2 ; … )</t>
  </si>
  <si>
    <r>
      <t xml:space="preserve">Dans l'onglet " </t>
    </r>
    <r>
      <rPr>
        <b/>
        <sz val="11"/>
        <color theme="1"/>
        <rFont val="Calibri"/>
        <family val="2"/>
        <scheme val="minor"/>
      </rPr>
      <t xml:space="preserve">Formule </t>
    </r>
    <r>
      <rPr>
        <sz val="11"/>
        <color theme="1"/>
        <rFont val="Calibri"/>
        <family val="2"/>
        <scheme val="minor"/>
      </rPr>
      <t>" plus haut, on peut insérer des fonctions avec le bouton "Insérer une fonction".</t>
    </r>
  </si>
  <si>
    <t>Option de collage</t>
  </si>
  <si>
    <t xml:space="preserve">Par défaut, quand on copie une formule, on copie la formule. </t>
  </si>
  <si>
    <t xml:space="preserve">Les adresses des cellules se mettent à jour en fonction de </t>
  </si>
  <si>
    <t>la différence de position entre la formule d'origine et destination.</t>
  </si>
  <si>
    <t>=F33</t>
  </si>
  <si>
    <t>=H33</t>
  </si>
  <si>
    <r>
      <t xml:space="preserve">Par contre, si vous ne voulez pas coller la formule, et uniquement sa </t>
    </r>
    <r>
      <rPr>
        <b/>
        <sz val="11"/>
        <color theme="1"/>
        <rFont val="Calibri"/>
        <family val="2"/>
        <scheme val="minor"/>
      </rPr>
      <t>valeur,</t>
    </r>
  </si>
  <si>
    <t>il faudra choisir la bonne option dans les configurations de collage.</t>
  </si>
  <si>
    <t>La conditionnelle "IF" ou "SI"</t>
  </si>
  <si>
    <t xml:space="preserve"> </t>
  </si>
  <si>
    <t>Permet de changer le contenu d'une cellule en fonction d'une vérification if.</t>
  </si>
  <si>
    <t xml:space="preserve">La structure est la suivante : </t>
  </si>
  <si>
    <t>=SI ( condition ; si_vrai ; si_faux )</t>
  </si>
  <si>
    <t>Exemple</t>
  </si>
  <si>
    <t>&lt;</t>
  </si>
  <si>
    <t>La conditionnelle imbriquée</t>
  </si>
  <si>
    <r>
      <t xml:space="preserve">=SI ( condition ; si_vrai ; </t>
    </r>
    <r>
      <rPr>
        <b/>
        <sz val="11"/>
        <color rgb="FFFF0000"/>
        <rFont val="Calibri"/>
        <family val="2"/>
        <scheme val="minor"/>
      </rPr>
      <t>si_faux</t>
    </r>
    <r>
      <rPr>
        <sz val="11"/>
        <color theme="1"/>
        <rFont val="Calibri"/>
        <family val="2"/>
        <scheme val="minor"/>
      </rPr>
      <t xml:space="preserve"> )</t>
    </r>
  </si>
  <si>
    <t>Dans la syntaxe ci-haut, on peut se pencher sur le fait d'imbriquer une autre fonction "SI"</t>
  </si>
  <si>
    <t>à l'intérieur de la valeur "si_faux". Ceci permet de refaire la notion de "else if" dans des langages connus.</t>
  </si>
  <si>
    <t>Reprenant l'example ci-dessus.</t>
  </si>
  <si>
    <t>Est-ce que B8 est plus petit que D8?</t>
  </si>
  <si>
    <t>Est-ce que la cellule B8, si elle n'est pas plus petite que D8, est-elle plus grande que B17?</t>
  </si>
  <si>
    <t>Le ET pour les conditions.</t>
  </si>
  <si>
    <r>
      <t xml:space="preserve">=SI ( </t>
    </r>
    <r>
      <rPr>
        <b/>
        <sz val="11"/>
        <color rgb="FFFF0000"/>
        <rFont val="Calibri"/>
        <family val="2"/>
        <scheme val="minor"/>
      </rPr>
      <t>condition</t>
    </r>
    <r>
      <rPr>
        <sz val="11"/>
        <rFont val="Calibri"/>
        <family val="2"/>
        <scheme val="minor"/>
      </rPr>
      <t xml:space="preserve"> ; si_vrai ; si_faux )</t>
    </r>
  </si>
  <si>
    <t>Dans la portion "condition" de la syntaxe de formule, vous pouvez utiliser le ET pour ajouter des conditions.</t>
  </si>
  <si>
    <t xml:space="preserve">Exemple, nous avons un site météorologique qui nous dit qu'il fait beau ou non dehors. </t>
  </si>
  <si>
    <t>Il fera beau si l'indice d'humidité est sous 40% et qu'il fait plus de 15 degrés</t>
  </si>
  <si>
    <t>Température</t>
  </si>
  <si>
    <t>Humidité</t>
  </si>
  <si>
    <t>Fait-il beau?</t>
  </si>
  <si>
    <t>Des fonctions avec SI</t>
  </si>
  <si>
    <t>CONTROL + MAJUSCULE + FLÈCHE BAS</t>
  </si>
  <si>
    <t>Permet de faire la section de toutes les données d'une colonne.</t>
  </si>
  <si>
    <r>
      <t xml:space="preserve">Un exemple concret et très utile : </t>
    </r>
    <r>
      <rPr>
        <b/>
        <sz val="11"/>
        <color theme="1"/>
        <rFont val="Calibri"/>
        <family val="2"/>
        <scheme val="minor"/>
      </rPr>
      <t>SOMME.SI</t>
    </r>
  </si>
  <si>
    <t>=SOMME.SI(plage;critère; [plage_somme])</t>
  </si>
  <si>
    <r>
      <t xml:space="preserve">Sachez que les crochets pour isoler un paramètre déterminent que ce paramètre est </t>
    </r>
    <r>
      <rPr>
        <b/>
        <i/>
        <sz val="11"/>
        <color theme="8" tint="-0.249977111117893"/>
        <rFont val="Calibri"/>
        <family val="2"/>
        <scheme val="minor"/>
      </rPr>
      <t>non-obligatoire.</t>
    </r>
  </si>
  <si>
    <t>Janvier</t>
  </si>
  <si>
    <t>Mars</t>
  </si>
  <si>
    <t>Avril</t>
  </si>
  <si>
    <t>Février</t>
  </si>
  <si>
    <t>Mai</t>
  </si>
  <si>
    <r>
      <t xml:space="preserve">La </t>
    </r>
    <r>
      <rPr>
        <b/>
        <sz val="11"/>
        <color theme="1"/>
        <rFont val="Calibri"/>
        <family val="2"/>
        <scheme val="minor"/>
      </rPr>
      <t xml:space="preserve">plage </t>
    </r>
    <r>
      <rPr>
        <sz val="11"/>
        <color theme="1"/>
        <rFont val="Calibri"/>
        <family val="2"/>
        <scheme val="minor"/>
      </rPr>
      <t>détermine les données que vous voulez analyser pour la condition "SI"</t>
    </r>
  </si>
  <si>
    <r>
      <t xml:space="preserve">Le </t>
    </r>
    <r>
      <rPr>
        <b/>
        <sz val="11"/>
        <color theme="1"/>
        <rFont val="Calibri"/>
        <family val="2"/>
        <scheme val="minor"/>
      </rPr>
      <t xml:space="preserve">critère </t>
    </r>
    <r>
      <rPr>
        <sz val="11"/>
        <color theme="1"/>
        <rFont val="Calibri"/>
        <family val="2"/>
        <scheme val="minor"/>
      </rPr>
      <t xml:space="preserve">représente la condition à satisfaire. La fonction compare chaque entrée de la plage avec ce critère. </t>
    </r>
  </si>
  <si>
    <r>
      <t xml:space="preserve">La </t>
    </r>
    <r>
      <rPr>
        <b/>
        <sz val="11"/>
        <color theme="1"/>
        <rFont val="Calibri"/>
        <family val="2"/>
        <scheme val="minor"/>
      </rPr>
      <t>plage_somme</t>
    </r>
    <r>
      <rPr>
        <sz val="11"/>
        <color theme="1"/>
        <rFont val="Calibri"/>
        <family val="2"/>
        <scheme val="minor"/>
      </rPr>
      <t xml:space="preserve"> peut être utilisé si la plage n'est elle-même pas une donnée numérique. </t>
    </r>
  </si>
  <si>
    <t>Mois</t>
  </si>
  <si>
    <t>Gain net</t>
  </si>
  <si>
    <r>
      <t xml:space="preserve">Un autre exemple avec : </t>
    </r>
    <r>
      <rPr>
        <b/>
        <sz val="11"/>
        <color theme="1"/>
        <rFont val="Calibri"/>
        <family val="2"/>
        <scheme val="minor"/>
      </rPr>
      <t>MIN.SI.ENS</t>
    </r>
  </si>
  <si>
    <t>Étudiant 1</t>
  </si>
  <si>
    <t>Étudiant 2</t>
  </si>
  <si>
    <t>Étudiant 3</t>
  </si>
  <si>
    <t>Étudiant 4</t>
  </si>
  <si>
    <t>Étudiant 5</t>
  </si>
  <si>
    <t>Étudiant 6</t>
  </si>
  <si>
    <t>Étudiant 7</t>
  </si>
  <si>
    <t>Étudiant 8</t>
  </si>
  <si>
    <t>Examen 1</t>
  </si>
  <si>
    <t>Examen 2</t>
  </si>
  <si>
    <t>Examen 3</t>
  </si>
  <si>
    <t>Examen 4</t>
  </si>
  <si>
    <t>=MIN.SI.ENS(plage_min ; plage critère1; critère1; …)</t>
  </si>
  <si>
    <t>Moyennes</t>
  </si>
  <si>
    <t>La plus petite moyenne des gens qui passent tous leurs examens :</t>
  </si>
  <si>
    <t>Prendre note que les critères peuvent être des caractères textuels.</t>
  </si>
  <si>
    <t>→</t>
  </si>
  <si>
    <t>Retour sur les numéros de série cachés derrière les dates.</t>
  </si>
  <si>
    <t>=</t>
  </si>
  <si>
    <t>Comme expliqué au dernier cours, les dates sont des constantes numérique.</t>
  </si>
  <si>
    <t>On additionne 1 à tous les jours depuis le 1er janvier 1900.</t>
  </si>
  <si>
    <t>=AUJOURDHUI()</t>
  </si>
  <si>
    <t>La fonction Date</t>
  </si>
  <si>
    <t>La fonction Date permet de recréer une date à partir de données découpées.</t>
  </si>
  <si>
    <t>Année</t>
  </si>
  <si>
    <t>Jour</t>
  </si>
  <si>
    <t>Date</t>
  </si>
  <si>
    <t>Date Longue</t>
  </si>
  <si>
    <t>Date Nombre</t>
  </si>
  <si>
    <t>Les fonctions JOUR, MOIS, ANNEE</t>
  </si>
  <si>
    <t>Chaque fonction, avec une entrée date, permet de redécouper la date.</t>
  </si>
  <si>
    <t>Les fonctions JOURSEM et FIN MOIS</t>
  </si>
  <si>
    <r>
      <rPr>
        <b/>
        <sz val="11"/>
        <color rgb="FFFF0000"/>
        <rFont val="Calibri"/>
        <family val="2"/>
        <scheme val="minor"/>
      </rPr>
      <t>=JOURSEM</t>
    </r>
    <r>
      <rPr>
        <sz val="11"/>
        <color theme="1"/>
        <rFont val="Calibri"/>
        <family val="2"/>
        <scheme val="minor"/>
      </rPr>
      <t xml:space="preserve"> permet d'obtenir le nom du jour décrit par la date. </t>
    </r>
    <r>
      <rPr>
        <b/>
        <sz val="11"/>
        <color rgb="FFFF0000"/>
        <rFont val="Calibri"/>
        <family val="2"/>
        <scheme val="minor"/>
      </rPr>
      <t>=FIN.MOIS</t>
    </r>
    <r>
      <rPr>
        <sz val="11"/>
        <color theme="1"/>
        <rFont val="Calibri"/>
        <family val="2"/>
        <scheme val="minor"/>
      </rPr>
      <t xml:space="preserve"> permet de connaître la date de la dernière journée du mois.</t>
    </r>
  </si>
  <si>
    <t>JOURSEM</t>
  </si>
  <si>
    <t>FIN MOIS</t>
  </si>
  <si>
    <t>FIN MOIS AVANT</t>
  </si>
  <si>
    <t>FIN MOIS APRÈS</t>
  </si>
  <si>
    <t>NB. JOURS</t>
  </si>
  <si>
    <r>
      <t xml:space="preserve">Si vous n'avez qu'une seule série à prendre en compte, un graphique en </t>
    </r>
    <r>
      <rPr>
        <b/>
        <sz val="11"/>
        <color theme="1"/>
        <rFont val="Calibri"/>
        <family val="2"/>
        <scheme val="minor"/>
      </rPr>
      <t>secteur</t>
    </r>
    <r>
      <rPr>
        <sz val="11"/>
        <color theme="1"/>
        <rFont val="Calibri"/>
        <family val="2"/>
        <scheme val="minor"/>
      </rPr>
      <t xml:space="preserve"> (ou pointe de tarte) est préférable.</t>
    </r>
  </si>
  <si>
    <t>Choix du graphique</t>
  </si>
  <si>
    <r>
      <t xml:space="preserve">Si vous avez plusieurs séries à prendre en compte, on choisit généralement un </t>
    </r>
    <r>
      <rPr>
        <b/>
        <sz val="11"/>
        <color theme="1"/>
        <rFont val="Calibri"/>
        <family val="2"/>
        <scheme val="minor"/>
      </rPr>
      <t>histogramme</t>
    </r>
    <r>
      <rPr>
        <sz val="11"/>
        <color theme="1"/>
        <rFont val="Calibri"/>
        <family val="2"/>
        <scheme val="minor"/>
      </rPr>
      <t>. (ou diagramme à barres)</t>
    </r>
  </si>
  <si>
    <t>Insérer un graphique</t>
  </si>
  <si>
    <t xml:space="preserve">Il y a des aides de la part de Excel qui permettent de générer des graphiques rapidement. </t>
  </si>
  <si>
    <t>Cependant, la bonne méthode, c'est d'utiliser les options dans l'onglet "Insertion"</t>
  </si>
  <si>
    <t>Édition d'un graphique</t>
  </si>
  <si>
    <r>
      <t>Quand vous faites la sélection d'un graphique, vous devriez voir un nouvel onglet apparaître "</t>
    </r>
    <r>
      <rPr>
        <b/>
        <sz val="11"/>
        <color theme="1"/>
        <rFont val="Calibri"/>
        <family val="2"/>
        <scheme val="minor"/>
      </rPr>
      <t>Création de graphique</t>
    </r>
    <r>
      <rPr>
        <sz val="11"/>
        <color theme="1"/>
        <rFont val="Calibri"/>
        <family val="2"/>
        <scheme val="minor"/>
      </rPr>
      <t>"</t>
    </r>
  </si>
  <si>
    <r>
      <t>Par exemple, l'option "</t>
    </r>
    <r>
      <rPr>
        <b/>
        <sz val="11"/>
        <color theme="1"/>
        <rFont val="Calibri"/>
        <family val="2"/>
        <scheme val="minor"/>
      </rPr>
      <t>Changer de ligne / colonne</t>
    </r>
    <r>
      <rPr>
        <sz val="11"/>
        <color theme="1"/>
        <rFont val="Calibri"/>
        <family val="2"/>
        <scheme val="minor"/>
      </rPr>
      <t>" permet d'échanger les lignes et les colonnes rapidement.</t>
    </r>
  </si>
  <si>
    <r>
      <t>L'option "</t>
    </r>
    <r>
      <rPr>
        <b/>
        <sz val="11"/>
        <color theme="1"/>
        <rFont val="Calibri"/>
        <family val="2"/>
        <scheme val="minor"/>
      </rPr>
      <t>Sélectionner des données</t>
    </r>
    <r>
      <rPr>
        <sz val="11"/>
        <color theme="1"/>
        <rFont val="Calibri"/>
        <family val="2"/>
        <scheme val="minor"/>
      </rPr>
      <t>" permet d'ouvrir une nouvelle fenêtre où vous pouvez faire davantage de choix pour votre graphique.</t>
    </r>
  </si>
  <si>
    <t>Personnaliser des graphiques</t>
  </si>
  <si>
    <t xml:space="preserve">Nous vous présenterons quelques éléments de plus pour les graphiques et la personnalisation, mais à vous de parcourir les différents éléments. </t>
  </si>
  <si>
    <r>
      <t xml:space="preserve">Quand vous </t>
    </r>
    <r>
      <rPr>
        <b/>
        <sz val="11"/>
        <color theme="1"/>
        <rFont val="Calibri"/>
        <family val="2"/>
        <scheme val="minor"/>
      </rPr>
      <t>sélectionnez un graphique,</t>
    </r>
    <r>
      <rPr>
        <sz val="11"/>
        <color theme="1"/>
        <rFont val="Calibri"/>
        <family val="2"/>
        <scheme val="minor"/>
      </rPr>
      <t xml:space="preserve"> Excel devrait vous montrer des </t>
    </r>
    <r>
      <rPr>
        <b/>
        <sz val="11"/>
        <color rgb="FFFF0000"/>
        <rFont val="Calibri"/>
        <family val="2"/>
        <scheme val="minor"/>
      </rPr>
      <t>options supplémentaires sur le coin supérieur droit du graphique</t>
    </r>
    <r>
      <rPr>
        <sz val="11"/>
        <color theme="1"/>
        <rFont val="Calibri"/>
        <family val="2"/>
        <scheme val="minor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</si>
</sst>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74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horizontal="center"/>
    </xf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5" fillId="0" borderId="0" xfId="0" quotePrefix="1" applyFont="1"/>
    <xf numFmtId="0" fontId="4" fillId="0" borderId="0" xfId="0" quotePrefix="1" applyFont="1"/>
    <xf numFmtId="0" fontId="2" fillId="0" borderId="0" xfId="0" quotePrefix="1" applyFont="1"/>
    <xf numFmtId="0" fontId="1" fillId="0" borderId="0" xfId="0" applyFont="1"/>
    <xf numFmtId="0" fontId="0" fillId="4" borderId="0" xfId="0" applyFill="1"/>
    <xf numFmtId="0" fontId="9" fillId="0" borderId="0" xfId="0" quotePrefix="1" applyFont="1"/>
    <xf numFmtId="0" fontId="0" fillId="5" borderId="0" xfId="0" applyFill="1"/>
    <xf numFmtId="0" fontId="0" fillId="6" borderId="0" xfId="0" applyFill="1"/>
    <xf numFmtId="0" fontId="7" fillId="7" borderId="0" xfId="0" applyFont="1" applyFill="1" applyAlignment="1">
      <alignment horizontal="center"/>
    </xf>
    <xf numFmtId="44" fontId="0" fillId="0" borderId="0" xfId="1" applyFont="1"/>
    <xf numFmtId="0" fontId="1" fillId="0" borderId="0" xfId="0" applyFont="1" applyAlignment="1">
      <alignment horizontal="center"/>
    </xf>
    <xf numFmtId="1" fontId="0" fillId="0" borderId="0" xfId="0" applyNumberFormat="1"/>
    <xf numFmtId="0" fontId="3" fillId="0" borderId="0" xfId="0" applyFont="1" applyAlignment="1">
      <alignment horizontal="right"/>
    </xf>
    <xf numFmtId="1" fontId="1" fillId="5" borderId="0" xfId="0" applyNumberFormat="1" applyFont="1" applyFill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applyNumberFormat="1"/>
    <xf numFmtId="0" fontId="0" fillId="5" borderId="0" xfId="0" applyNumberFormat="1" applyFont="1" applyFill="1"/>
    <xf numFmtId="14" fontId="0" fillId="5" borderId="0" xfId="0" applyNumberFormat="1" applyFill="1"/>
    <xf numFmtId="14" fontId="2" fillId="0" borderId="0" xfId="0" quotePrefix="1" applyNumberFormat="1" applyFont="1"/>
    <xf numFmtId="0" fontId="0" fillId="0" borderId="0" xfId="0" quotePrefix="1" applyAlignment="1">
      <alignment horizontal="center"/>
    </xf>
    <xf numFmtId="0" fontId="0" fillId="3" borderId="0" xfId="0" applyNumberFormat="1" applyFill="1"/>
    <xf numFmtId="14" fontId="0" fillId="3" borderId="0" xfId="0" applyNumberFormat="1" applyFill="1"/>
    <xf numFmtId="0" fontId="12" fillId="7" borderId="0" xfId="0" applyFont="1" applyFill="1" applyAlignment="1">
      <alignment horizontal="center"/>
    </xf>
    <xf numFmtId="174" fontId="0" fillId="0" borderId="0" xfId="0" applyNumberFormat="1"/>
    <xf numFmtId="22" fontId="0" fillId="0" borderId="0" xfId="0" applyNumberFormat="1"/>
    <xf numFmtId="0" fontId="13" fillId="7" borderId="0" xfId="0" applyFont="1" applyFill="1" applyAlignment="1">
      <alignment horizontal="center"/>
    </xf>
    <xf numFmtId="174" fontId="0" fillId="0" borderId="0" xfId="0" applyNumberFormat="1" applyFill="1"/>
    <xf numFmtId="174" fontId="0" fillId="0" borderId="0" xfId="0" applyNumberFormat="1" applyFill="1" applyAlignment="1">
      <alignment horizontal="left"/>
    </xf>
    <xf numFmtId="0" fontId="8" fillId="0" borderId="0" xfId="0" quotePrefix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27</xdr:row>
      <xdr:rowOff>104775</xdr:rowOff>
    </xdr:from>
    <xdr:to>
      <xdr:col>3</xdr:col>
      <xdr:colOff>179300</xdr:colOff>
      <xdr:row>40</xdr:row>
      <xdr:rowOff>131777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F95EDA-70F8-34CD-82E3-27FB1DA1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70" y="5133975"/>
          <a:ext cx="1649960" cy="23834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5</xdr:col>
      <xdr:colOff>510540</xdr:colOff>
      <xdr:row>37</xdr:row>
      <xdr:rowOff>136207</xdr:rowOff>
    </xdr:from>
    <xdr:ext cx="65" cy="172227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BFC77C9-5B09-C6C0-68A3-D018047B9108}"/>
            </a:ext>
          </a:extLst>
        </xdr:cNvPr>
        <xdr:cNvSpPr txBox="1"/>
      </xdr:nvSpPr>
      <xdr:spPr>
        <a:xfrm>
          <a:off x="4463415" y="697515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CA" sz="1100"/>
        </a:p>
      </xdr:txBody>
    </xdr:sp>
    <xdr:clientData/>
  </xdr:oneCellAnchor>
  <xdr:twoCellAnchor>
    <xdr:from>
      <xdr:col>4</xdr:col>
      <xdr:colOff>381000</xdr:colOff>
      <xdr:row>32</xdr:row>
      <xdr:rowOff>104775</xdr:rowOff>
    </xdr:from>
    <xdr:to>
      <xdr:col>5</xdr:col>
      <xdr:colOff>773430</xdr:colOff>
      <xdr:row>33</xdr:row>
      <xdr:rowOff>140970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1AB2622C-32AC-D941-FE4E-866A64E9D93D}"/>
            </a:ext>
          </a:extLst>
        </xdr:cNvPr>
        <xdr:cNvCxnSpPr/>
      </xdr:nvCxnSpPr>
      <xdr:spPr>
        <a:xfrm>
          <a:off x="3543300" y="6038850"/>
          <a:ext cx="1183005" cy="21717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45</xdr:row>
      <xdr:rowOff>106680</xdr:rowOff>
    </xdr:from>
    <xdr:to>
      <xdr:col>11</xdr:col>
      <xdr:colOff>372617</xdr:colOff>
      <xdr:row>47</xdr:row>
      <xdr:rowOff>26710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5703E2-EBA3-5E55-E3DD-B3F00E90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" y="8519160"/>
          <a:ext cx="8183117" cy="285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365760</xdr:colOff>
      <xdr:row>7</xdr:row>
      <xdr:rowOff>30480</xdr:rowOff>
    </xdr:from>
    <xdr:to>
      <xdr:col>10</xdr:col>
      <xdr:colOff>23036</xdr:colOff>
      <xdr:row>12</xdr:row>
      <xdr:rowOff>38184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C644E61-5242-3D03-C4F8-1D2EED79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3120" y="1356360"/>
          <a:ext cx="2034716" cy="9678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76200</xdr:colOff>
      <xdr:row>15</xdr:row>
      <xdr:rowOff>160020</xdr:rowOff>
    </xdr:from>
    <xdr:to>
      <xdr:col>17</xdr:col>
      <xdr:colOff>366884</xdr:colOff>
      <xdr:row>21</xdr:row>
      <xdr:rowOff>114391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010A191-518D-F232-67FB-7603A491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" y="3040380"/>
          <a:ext cx="12970364" cy="1051651"/>
        </a:xfrm>
        <a:prstGeom prst="rect">
          <a:avLst/>
        </a:prstGeom>
      </xdr:spPr>
    </xdr:pic>
    <xdr:clientData/>
  </xdr:twoCellAnchor>
  <xdr:twoCellAnchor>
    <xdr:from>
      <xdr:col>13</xdr:col>
      <xdr:colOff>198120</xdr:colOff>
      <xdr:row>15</xdr:row>
      <xdr:rowOff>91440</xdr:rowOff>
    </xdr:from>
    <xdr:to>
      <xdr:col>15</xdr:col>
      <xdr:colOff>236220</xdr:colOff>
      <xdr:row>20</xdr:row>
      <xdr:rowOff>30480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67F948-9393-29A1-EB0D-865D4431DF18}"/>
            </a:ext>
          </a:extLst>
        </xdr:cNvPr>
        <xdr:cNvSpPr/>
      </xdr:nvSpPr>
      <xdr:spPr>
        <a:xfrm>
          <a:off x="10500360" y="2971800"/>
          <a:ext cx="1623060" cy="8534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82" sqref="B82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6A10-9754-4D4F-A247-C6B432248040}">
  <dimension ref="A1:H37"/>
  <sheetViews>
    <sheetView topLeftCell="A26" workbookViewId="0">
      <selection activeCell="I51" sqref="I51"/>
    </sheetView>
  </sheetViews>
  <sheetFormatPr baseColWidth="10" defaultRowHeight="14.4" x14ac:dyDescent="0.3"/>
  <sheetData>
    <row r="1" spans="1:7" x14ac:dyDescent="0.3">
      <c r="A1" s="6">
        <v>2</v>
      </c>
    </row>
    <row r="3" spans="1:7" ht="18" x14ac:dyDescent="0.35">
      <c r="B3" s="9" t="s">
        <v>0</v>
      </c>
    </row>
    <row r="4" spans="1:7" x14ac:dyDescent="0.3">
      <c r="B4" t="s">
        <v>1</v>
      </c>
    </row>
    <row r="5" spans="1:7" x14ac:dyDescent="0.3">
      <c r="B5" s="1" t="s">
        <v>2</v>
      </c>
    </row>
    <row r="6" spans="1:7" x14ac:dyDescent="0.3">
      <c r="B6" s="2" t="s">
        <v>3</v>
      </c>
    </row>
    <row r="9" spans="1:7" x14ac:dyDescent="0.3">
      <c r="B9">
        <v>2</v>
      </c>
      <c r="C9">
        <v>5</v>
      </c>
      <c r="D9" s="4">
        <f>B9+C9</f>
        <v>7</v>
      </c>
      <c r="F9">
        <v>2</v>
      </c>
      <c r="G9">
        <v>8</v>
      </c>
    </row>
    <row r="10" spans="1:7" x14ac:dyDescent="0.3">
      <c r="B10">
        <v>8</v>
      </c>
      <c r="C10">
        <v>9</v>
      </c>
      <c r="D10" s="4">
        <f>B10+C10</f>
        <v>17</v>
      </c>
      <c r="F10">
        <v>5</v>
      </c>
      <c r="G10">
        <v>9</v>
      </c>
    </row>
    <row r="11" spans="1:7" x14ac:dyDescent="0.3">
      <c r="F11" s="3">
        <f>F9+F10</f>
        <v>7</v>
      </c>
      <c r="G11" s="3">
        <f>G9+G10</f>
        <v>17</v>
      </c>
    </row>
    <row r="14" spans="1:7" x14ac:dyDescent="0.3">
      <c r="B14" t="s">
        <v>7</v>
      </c>
    </row>
    <row r="15" spans="1:7" x14ac:dyDescent="0.3">
      <c r="B15" t="s">
        <v>4</v>
      </c>
      <c r="C15" s="5" t="s">
        <v>5</v>
      </c>
      <c r="F15" s="7" t="s">
        <v>6</v>
      </c>
    </row>
    <row r="17" spans="2:5" x14ac:dyDescent="0.3">
      <c r="B17">
        <v>2</v>
      </c>
      <c r="C17">
        <v>8</v>
      </c>
    </row>
    <row r="18" spans="2:5" x14ac:dyDescent="0.3">
      <c r="B18">
        <v>5</v>
      </c>
      <c r="C18">
        <v>9</v>
      </c>
    </row>
    <row r="19" spans="2:5" x14ac:dyDescent="0.3">
      <c r="B19" s="8">
        <f>B17+B18*$A$1</f>
        <v>12</v>
      </c>
      <c r="C19" s="8">
        <f>C17+C18*$A$1</f>
        <v>26</v>
      </c>
    </row>
    <row r="22" spans="2:5" ht="18" x14ac:dyDescent="0.35">
      <c r="B22" s="9" t="s">
        <v>8</v>
      </c>
    </row>
    <row r="23" spans="2:5" x14ac:dyDescent="0.3">
      <c r="B23" t="s">
        <v>9</v>
      </c>
      <c r="D23" s="10" t="s">
        <v>10</v>
      </c>
    </row>
    <row r="24" spans="2:5" x14ac:dyDescent="0.3">
      <c r="B24" t="s">
        <v>11</v>
      </c>
    </row>
    <row r="25" spans="2:5" x14ac:dyDescent="0.3">
      <c r="C25" s="7"/>
    </row>
    <row r="27" spans="2:5" ht="18" x14ac:dyDescent="0.35">
      <c r="B27" s="9" t="s">
        <v>12</v>
      </c>
    </row>
    <row r="29" spans="2:5" x14ac:dyDescent="0.3">
      <c r="E29" t="s">
        <v>13</v>
      </c>
    </row>
    <row r="30" spans="2:5" x14ac:dyDescent="0.3">
      <c r="E30" t="s">
        <v>14</v>
      </c>
    </row>
    <row r="31" spans="2:5" x14ac:dyDescent="0.3">
      <c r="E31" t="s">
        <v>15</v>
      </c>
    </row>
    <row r="33" spans="5:8" x14ac:dyDescent="0.3">
      <c r="E33" s="10" t="s">
        <v>16</v>
      </c>
      <c r="F33" s="2"/>
    </row>
    <row r="34" spans="5:8" x14ac:dyDescent="0.3">
      <c r="G34" s="10" t="s">
        <v>17</v>
      </c>
      <c r="H34" s="2"/>
    </row>
    <row r="36" spans="5:8" x14ac:dyDescent="0.3">
      <c r="E36" t="s">
        <v>18</v>
      </c>
    </row>
    <row r="37" spans="5:8" x14ac:dyDescent="0.3">
      <c r="E37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7AE7-0B7D-4969-8C56-B9CB268E301C}">
  <dimension ref="A2:J59"/>
  <sheetViews>
    <sheetView workbookViewId="0">
      <selection activeCell="L66" sqref="L66"/>
    </sheetView>
  </sheetViews>
  <sheetFormatPr baseColWidth="10" defaultRowHeight="14.4" x14ac:dyDescent="0.3"/>
  <sheetData>
    <row r="2" spans="1:5" ht="18" x14ac:dyDescent="0.35">
      <c r="A2" t="s">
        <v>21</v>
      </c>
      <c r="B2" s="11" t="s">
        <v>20</v>
      </c>
    </row>
    <row r="3" spans="1:5" x14ac:dyDescent="0.3">
      <c r="B3" t="s">
        <v>22</v>
      </c>
    </row>
    <row r="4" spans="1:5" x14ac:dyDescent="0.3">
      <c r="B4" t="s">
        <v>23</v>
      </c>
      <c r="E4" s="12" t="s">
        <v>24</v>
      </c>
    </row>
    <row r="6" spans="1:5" x14ac:dyDescent="0.3">
      <c r="B6" t="s">
        <v>25</v>
      </c>
    </row>
    <row r="7" spans="1:5" x14ac:dyDescent="0.3">
      <c r="B7" t="s">
        <v>32</v>
      </c>
      <c r="E7" s="3" t="str">
        <f>IF(B8&lt;D8,"Oui","Non")</f>
        <v>Non</v>
      </c>
    </row>
    <row r="8" spans="1:5" x14ac:dyDescent="0.3">
      <c r="B8" s="2">
        <v>5</v>
      </c>
      <c r="C8" s="6" t="s">
        <v>26</v>
      </c>
      <c r="D8" s="2">
        <v>0</v>
      </c>
    </row>
    <row r="10" spans="1:5" ht="18" x14ac:dyDescent="0.35">
      <c r="B10" s="9" t="s">
        <v>27</v>
      </c>
    </row>
    <row r="11" spans="1:5" x14ac:dyDescent="0.3">
      <c r="B11" s="5" t="s">
        <v>28</v>
      </c>
    </row>
    <row r="12" spans="1:5" x14ac:dyDescent="0.3">
      <c r="B12" t="s">
        <v>29</v>
      </c>
    </row>
    <row r="13" spans="1:5" x14ac:dyDescent="0.3">
      <c r="B13" t="s">
        <v>30</v>
      </c>
    </row>
    <row r="15" spans="1:5" x14ac:dyDescent="0.3">
      <c r="B15" t="s">
        <v>31</v>
      </c>
    </row>
    <row r="16" spans="1:5" x14ac:dyDescent="0.3">
      <c r="B16" t="s">
        <v>33</v>
      </c>
    </row>
    <row r="17" spans="2:9" x14ac:dyDescent="0.3">
      <c r="B17" s="14">
        <v>8</v>
      </c>
      <c r="D17" s="8" t="str">
        <f>IF(B8&lt;D8,"N/A",IF(B8&gt;B17,"Oui","Non"))</f>
        <v>Non</v>
      </c>
    </row>
    <row r="19" spans="2:9" ht="18" x14ac:dyDescent="0.35">
      <c r="B19" s="9" t="s">
        <v>34</v>
      </c>
    </row>
    <row r="20" spans="2:9" x14ac:dyDescent="0.3">
      <c r="B20" s="15" t="s">
        <v>35</v>
      </c>
    </row>
    <row r="21" spans="2:9" x14ac:dyDescent="0.3">
      <c r="B21" t="s">
        <v>36</v>
      </c>
    </row>
    <row r="23" spans="2:9" x14ac:dyDescent="0.3">
      <c r="B23" t="s">
        <v>37</v>
      </c>
    </row>
    <row r="24" spans="2:9" x14ac:dyDescent="0.3">
      <c r="B24" t="s">
        <v>38</v>
      </c>
    </row>
    <row r="26" spans="2:9" x14ac:dyDescent="0.3">
      <c r="B26" s="13" t="s">
        <v>39</v>
      </c>
      <c r="C26" s="13" t="s">
        <v>40</v>
      </c>
      <c r="D26" s="13" t="s">
        <v>41</v>
      </c>
      <c r="I26" t="s">
        <v>43</v>
      </c>
    </row>
    <row r="27" spans="2:9" x14ac:dyDescent="0.3">
      <c r="B27" s="16">
        <v>30</v>
      </c>
      <c r="C27" s="16">
        <v>0</v>
      </c>
      <c r="D27" s="17" t="str">
        <f>IF(AND(B27&gt;15,C27&lt;0.4),"Il fait beau","Il ne fait pas beau")</f>
        <v>Il fait beau</v>
      </c>
      <c r="I27" t="s">
        <v>44</v>
      </c>
    </row>
    <row r="30" spans="2:9" ht="18" x14ac:dyDescent="0.35">
      <c r="B30" s="9" t="s">
        <v>42</v>
      </c>
    </row>
    <row r="31" spans="2:9" x14ac:dyDescent="0.3">
      <c r="B31" t="s">
        <v>45</v>
      </c>
      <c r="F31" s="12" t="s">
        <v>46</v>
      </c>
    </row>
    <row r="32" spans="2:9" x14ac:dyDescent="0.3">
      <c r="H32" s="7" t="s">
        <v>47</v>
      </c>
    </row>
    <row r="33" spans="2:6" x14ac:dyDescent="0.3">
      <c r="B33" s="18" t="s">
        <v>56</v>
      </c>
      <c r="C33" s="18" t="s">
        <v>57</v>
      </c>
    </row>
    <row r="34" spans="2:6" x14ac:dyDescent="0.3">
      <c r="B34" t="s">
        <v>48</v>
      </c>
      <c r="C34" s="19">
        <v>15</v>
      </c>
      <c r="F34" t="s">
        <v>53</v>
      </c>
    </row>
    <row r="35" spans="2:6" x14ac:dyDescent="0.3">
      <c r="B35" t="s">
        <v>48</v>
      </c>
      <c r="C35" s="19">
        <v>2</v>
      </c>
    </row>
    <row r="36" spans="2:6" x14ac:dyDescent="0.3">
      <c r="B36" t="s">
        <v>48</v>
      </c>
      <c r="C36" s="19">
        <v>9</v>
      </c>
      <c r="F36" t="s">
        <v>54</v>
      </c>
    </row>
    <row r="37" spans="2:6" x14ac:dyDescent="0.3">
      <c r="B37" t="s">
        <v>49</v>
      </c>
      <c r="C37" s="19">
        <v>7</v>
      </c>
    </row>
    <row r="38" spans="2:6" x14ac:dyDescent="0.3">
      <c r="B38" t="s">
        <v>49</v>
      </c>
      <c r="C38" s="19">
        <v>45</v>
      </c>
      <c r="F38" t="s">
        <v>55</v>
      </c>
    </row>
    <row r="39" spans="2:6" x14ac:dyDescent="0.3">
      <c r="B39" t="s">
        <v>50</v>
      </c>
      <c r="C39" s="19">
        <v>6</v>
      </c>
    </row>
    <row r="41" spans="2:6" x14ac:dyDescent="0.3">
      <c r="B41" s="18" t="s">
        <v>48</v>
      </c>
      <c r="C41" s="18" t="s">
        <v>51</v>
      </c>
      <c r="D41" s="18" t="s">
        <v>49</v>
      </c>
      <c r="E41" s="18" t="s">
        <v>50</v>
      </c>
      <c r="F41" s="18" t="s">
        <v>52</v>
      </c>
    </row>
    <row r="42" spans="2:6" x14ac:dyDescent="0.3">
      <c r="B42" s="19">
        <f>SUMIF($B$34:$B$39,B41,$C$34:C39)</f>
        <v>26</v>
      </c>
      <c r="C42" s="19">
        <f>SUMIF($B$34:$B$39,C41,$C$34:D39)</f>
        <v>0</v>
      </c>
      <c r="D42" s="19">
        <f>SUMIF($B$34:$B$39,D41,$C$34:E39)</f>
        <v>52</v>
      </c>
      <c r="E42" s="19">
        <f>SUMIF($B$34:$B$39,E41,$C$34:F39)</f>
        <v>6</v>
      </c>
      <c r="F42" s="19">
        <f>SUMIF($B$34:$B$39,F41,$C$34:G39)</f>
        <v>0</v>
      </c>
    </row>
    <row r="45" spans="2:6" x14ac:dyDescent="0.3">
      <c r="B45" t="s">
        <v>58</v>
      </c>
      <c r="F45" s="12" t="s">
        <v>71</v>
      </c>
    </row>
    <row r="49" spans="2:10" x14ac:dyDescent="0.3">
      <c r="C49" s="20" t="s">
        <v>67</v>
      </c>
      <c r="D49" s="20" t="s">
        <v>68</v>
      </c>
      <c r="E49" s="20" t="s">
        <v>69</v>
      </c>
      <c r="F49" s="20" t="s">
        <v>70</v>
      </c>
      <c r="H49" s="20" t="s">
        <v>72</v>
      </c>
    </row>
    <row r="50" spans="2:10" x14ac:dyDescent="0.3">
      <c r="B50" s="13" t="s">
        <v>59</v>
      </c>
      <c r="C50" s="21">
        <v>78</v>
      </c>
      <c r="D50" s="21">
        <v>71.709138757903261</v>
      </c>
      <c r="E50" s="21">
        <v>64</v>
      </c>
      <c r="F50" s="21">
        <v>66</v>
      </c>
      <c r="G50" s="24" t="s">
        <v>75</v>
      </c>
      <c r="H50" s="21">
        <f>AVERAGE(C50:F50)</f>
        <v>69.927284689475812</v>
      </c>
    </row>
    <row r="51" spans="2:10" x14ac:dyDescent="0.3">
      <c r="B51" s="13" t="s">
        <v>60</v>
      </c>
      <c r="C51" s="21">
        <v>36.22131385922728</v>
      </c>
      <c r="D51" s="21">
        <v>71.274571991365548</v>
      </c>
      <c r="E51" s="21">
        <v>94.941861721521676</v>
      </c>
      <c r="F51" s="21">
        <v>53.402978486180622</v>
      </c>
      <c r="G51" s="25" t="s">
        <v>75</v>
      </c>
      <c r="H51" s="21">
        <f t="shared" ref="H51:H57" si="0">AVERAGE(C51:F51)</f>
        <v>63.960181514573783</v>
      </c>
    </row>
    <row r="52" spans="2:10" x14ac:dyDescent="0.3">
      <c r="B52" s="13" t="s">
        <v>61</v>
      </c>
      <c r="C52" s="21">
        <v>89</v>
      </c>
      <c r="D52" s="21">
        <v>87</v>
      </c>
      <c r="E52" s="21">
        <v>95</v>
      </c>
      <c r="F52" s="21">
        <v>82.430128363531367</v>
      </c>
      <c r="G52" s="25" t="s">
        <v>75</v>
      </c>
      <c r="H52" s="21">
        <f t="shared" si="0"/>
        <v>88.357532090882842</v>
      </c>
    </row>
    <row r="53" spans="2:10" x14ac:dyDescent="0.3">
      <c r="B53" s="13" t="s">
        <v>62</v>
      </c>
      <c r="C53" s="21">
        <v>68.569196593673382</v>
      </c>
      <c r="D53" s="21">
        <v>23.055766041872584</v>
      </c>
      <c r="E53" s="21">
        <v>28.6960793869805</v>
      </c>
      <c r="F53" s="21">
        <v>21.207500992186645</v>
      </c>
      <c r="G53" s="25" t="s">
        <v>75</v>
      </c>
      <c r="H53" s="21">
        <f t="shared" si="0"/>
        <v>35.382135753678277</v>
      </c>
    </row>
    <row r="54" spans="2:10" x14ac:dyDescent="0.3">
      <c r="B54" s="13" t="s">
        <v>63</v>
      </c>
      <c r="C54" s="21">
        <v>72.597153830073623</v>
      </c>
      <c r="D54" s="21">
        <v>70</v>
      </c>
      <c r="E54" s="21">
        <v>80</v>
      </c>
      <c r="F54" s="21">
        <v>80.486967218911801</v>
      </c>
      <c r="G54" s="25" t="s">
        <v>75</v>
      </c>
      <c r="H54" s="21">
        <f t="shared" si="0"/>
        <v>75.771030262246356</v>
      </c>
    </row>
    <row r="55" spans="2:10" x14ac:dyDescent="0.3">
      <c r="B55" s="13" t="s">
        <v>64</v>
      </c>
      <c r="C55" s="21">
        <v>56.002423623857865</v>
      </c>
      <c r="D55" s="21">
        <v>22.288512003903293</v>
      </c>
      <c r="E55" s="21">
        <v>43.614319624849394</v>
      </c>
      <c r="F55" s="21">
        <v>9.796252640356073</v>
      </c>
      <c r="G55" s="25" t="s">
        <v>75</v>
      </c>
      <c r="H55" s="21">
        <f t="shared" si="0"/>
        <v>32.925376973241654</v>
      </c>
    </row>
    <row r="56" spans="2:10" x14ac:dyDescent="0.3">
      <c r="B56" s="13" t="s">
        <v>65</v>
      </c>
      <c r="C56" s="21">
        <v>38.499073745235322</v>
      </c>
      <c r="D56" s="21">
        <v>49.616993660331289</v>
      </c>
      <c r="E56" s="21">
        <v>86.390156416029939</v>
      </c>
      <c r="F56" s="21">
        <v>70.022021263525687</v>
      </c>
      <c r="G56" s="25" t="s">
        <v>75</v>
      </c>
      <c r="H56" s="21">
        <f t="shared" si="0"/>
        <v>61.132061271280563</v>
      </c>
    </row>
    <row r="57" spans="2:10" x14ac:dyDescent="0.3">
      <c r="B57" s="13" t="s">
        <v>66</v>
      </c>
      <c r="C57" s="21">
        <v>84.805959045323533</v>
      </c>
      <c r="D57" s="21">
        <v>94.539295807907635</v>
      </c>
      <c r="E57" s="21">
        <v>80.543364385748006</v>
      </c>
      <c r="F57" s="21">
        <v>83</v>
      </c>
      <c r="G57" s="25" t="s">
        <v>75</v>
      </c>
      <c r="H57" s="21">
        <f t="shared" si="0"/>
        <v>85.722154809744794</v>
      </c>
    </row>
    <row r="59" spans="2:10" x14ac:dyDescent="0.3">
      <c r="G59" s="22" t="s">
        <v>73</v>
      </c>
      <c r="H59" s="23">
        <f>_xlfn.MINIFS(H50:H57,C50:C57,"&gt;60",D50:D57,"&gt;60",E50:E57,"&gt;60",F50:F57,"&gt;60")</f>
        <v>69.927284689475812</v>
      </c>
      <c r="J59" s="7" t="s">
        <v>74</v>
      </c>
    </row>
  </sheetData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9B7D-725B-41B4-A9A2-BD1755E5AD2A}">
  <dimension ref="B2:L31"/>
  <sheetViews>
    <sheetView workbookViewId="0">
      <selection activeCell="P16" sqref="P16"/>
    </sheetView>
  </sheetViews>
  <sheetFormatPr baseColWidth="10" defaultRowHeight="14.4" x14ac:dyDescent="0.3"/>
  <cols>
    <col min="2" max="2" width="16.109375" bestFit="1" customWidth="1"/>
    <col min="6" max="6" width="16.109375" bestFit="1" customWidth="1"/>
    <col min="10" max="10" width="15.33203125" bestFit="1" customWidth="1"/>
    <col min="11" max="11" width="14.77734375" bestFit="1" customWidth="1"/>
  </cols>
  <sheetData>
    <row r="2" spans="2:7" ht="18" x14ac:dyDescent="0.35">
      <c r="B2" s="9" t="s">
        <v>76</v>
      </c>
    </row>
    <row r="3" spans="2:7" x14ac:dyDescent="0.3">
      <c r="B3" s="30">
        <v>1</v>
      </c>
      <c r="C3" s="27" t="s">
        <v>77</v>
      </c>
      <c r="D3" s="29">
        <v>1</v>
      </c>
    </row>
    <row r="5" spans="2:7" x14ac:dyDescent="0.3">
      <c r="B5" t="s">
        <v>78</v>
      </c>
    </row>
    <row r="6" spans="2:7" x14ac:dyDescent="0.3">
      <c r="B6" t="s">
        <v>79</v>
      </c>
    </row>
    <row r="8" spans="2:7" x14ac:dyDescent="0.3">
      <c r="B8" s="31" t="s">
        <v>80</v>
      </c>
    </row>
    <row r="9" spans="2:7" x14ac:dyDescent="0.3">
      <c r="B9" s="34">
        <v>45911</v>
      </c>
      <c r="C9" s="32" t="s">
        <v>77</v>
      </c>
      <c r="D9" s="33">
        <v>45911</v>
      </c>
    </row>
    <row r="11" spans="2:7" ht="18" x14ac:dyDescent="0.35">
      <c r="B11" s="9" t="s">
        <v>81</v>
      </c>
    </row>
    <row r="12" spans="2:7" x14ac:dyDescent="0.3">
      <c r="B12" t="s">
        <v>82</v>
      </c>
    </row>
    <row r="14" spans="2:7" x14ac:dyDescent="0.3">
      <c r="B14" s="18" t="s">
        <v>83</v>
      </c>
      <c r="C14" s="18" t="s">
        <v>56</v>
      </c>
      <c r="D14" s="18" t="s">
        <v>84</v>
      </c>
      <c r="E14" s="35" t="s">
        <v>85</v>
      </c>
      <c r="F14" s="18" t="s">
        <v>86</v>
      </c>
      <c r="G14" s="18" t="s">
        <v>87</v>
      </c>
    </row>
    <row r="15" spans="2:7" x14ac:dyDescent="0.3">
      <c r="B15">
        <v>2025</v>
      </c>
      <c r="C15">
        <v>5</v>
      </c>
      <c r="D15">
        <v>23</v>
      </c>
      <c r="E15" s="30">
        <f>DATE(B15,C15,D15)</f>
        <v>45800</v>
      </c>
      <c r="F15" s="36">
        <f>E15</f>
        <v>45800</v>
      </c>
      <c r="G15" s="28">
        <f>E15</f>
        <v>45800</v>
      </c>
    </row>
    <row r="16" spans="2:7" x14ac:dyDescent="0.3">
      <c r="B16">
        <v>2024</v>
      </c>
      <c r="C16">
        <v>12</v>
      </c>
      <c r="D16">
        <v>30</v>
      </c>
      <c r="E16" s="30">
        <f t="shared" ref="E16:E19" si="0">DATE(B16,C16,D16)</f>
        <v>45656</v>
      </c>
      <c r="F16" s="36">
        <f t="shared" ref="F16:F19" si="1">E16</f>
        <v>45656</v>
      </c>
      <c r="G16" s="28">
        <f t="shared" ref="G16:G19" si="2">E16</f>
        <v>45656</v>
      </c>
    </row>
    <row r="17" spans="2:12" x14ac:dyDescent="0.3">
      <c r="B17">
        <v>2022</v>
      </c>
      <c r="C17">
        <v>2</v>
      </c>
      <c r="D17">
        <v>10</v>
      </c>
      <c r="E17" s="30">
        <f t="shared" si="0"/>
        <v>44602</v>
      </c>
      <c r="F17" s="36">
        <f t="shared" si="1"/>
        <v>44602</v>
      </c>
      <c r="G17" s="28">
        <f t="shared" si="2"/>
        <v>44602</v>
      </c>
    </row>
    <row r="18" spans="2:12" x14ac:dyDescent="0.3">
      <c r="B18">
        <v>2021</v>
      </c>
      <c r="C18">
        <v>1</v>
      </c>
      <c r="D18">
        <v>7</v>
      </c>
      <c r="E18" s="30">
        <f t="shared" si="0"/>
        <v>44203</v>
      </c>
      <c r="F18" s="36">
        <f t="shared" si="1"/>
        <v>44203</v>
      </c>
      <c r="G18" s="28">
        <f t="shared" si="2"/>
        <v>44203</v>
      </c>
    </row>
    <row r="19" spans="2:12" x14ac:dyDescent="0.3">
      <c r="B19">
        <v>2020</v>
      </c>
      <c r="C19">
        <v>8</v>
      </c>
      <c r="D19">
        <v>8</v>
      </c>
      <c r="E19" s="30">
        <f t="shared" si="0"/>
        <v>44051</v>
      </c>
      <c r="F19" s="36">
        <f t="shared" si="1"/>
        <v>44051</v>
      </c>
      <c r="G19" s="28">
        <f t="shared" si="2"/>
        <v>44051</v>
      </c>
    </row>
    <row r="21" spans="2:12" ht="18" x14ac:dyDescent="0.35">
      <c r="B21" s="9" t="s">
        <v>88</v>
      </c>
      <c r="H21" s="9" t="s">
        <v>90</v>
      </c>
    </row>
    <row r="22" spans="2:12" x14ac:dyDescent="0.3">
      <c r="B22" s="37" t="s">
        <v>89</v>
      </c>
      <c r="H22" s="41" t="s">
        <v>91</v>
      </c>
    </row>
    <row r="24" spans="2:12" x14ac:dyDescent="0.3">
      <c r="B24" s="18" t="s">
        <v>85</v>
      </c>
      <c r="C24" s="38" t="s">
        <v>84</v>
      </c>
      <c r="D24" s="38" t="s">
        <v>56</v>
      </c>
      <c r="E24" s="38" t="s">
        <v>83</v>
      </c>
      <c r="H24" s="38" t="s">
        <v>92</v>
      </c>
      <c r="I24" s="38" t="s">
        <v>93</v>
      </c>
      <c r="J24" s="38" t="s">
        <v>94</v>
      </c>
      <c r="K24" s="38" t="s">
        <v>95</v>
      </c>
      <c r="L24" s="38" t="s">
        <v>96</v>
      </c>
    </row>
    <row r="25" spans="2:12" x14ac:dyDescent="0.3">
      <c r="B25" s="40">
        <v>45800</v>
      </c>
      <c r="C25" s="16">
        <f>DAY(B25)</f>
        <v>23</v>
      </c>
      <c r="D25" s="16" cm="1">
        <f t="array" ref="D25:D29">MONTH(B25:B29)</f>
        <v>5</v>
      </c>
      <c r="E25" s="16" cm="1">
        <f t="array" ref="E25:E29">YEAR(B25:B29)</f>
        <v>2025</v>
      </c>
      <c r="H25" cm="1">
        <f t="array" ref="H25:H29">WEEKDAY(B25:B29)</f>
        <v>6</v>
      </c>
      <c r="I25" s="26">
        <f>EOMONTH(B25,0)</f>
        <v>45808</v>
      </c>
      <c r="J25" s="26">
        <f>EOMONTH(B25,-1)</f>
        <v>45777</v>
      </c>
      <c r="K25" s="26">
        <f>EOMONTH(B25,1)</f>
        <v>45838</v>
      </c>
      <c r="L25">
        <f>I25-J25</f>
        <v>31</v>
      </c>
    </row>
    <row r="26" spans="2:12" x14ac:dyDescent="0.3">
      <c r="B26" s="40">
        <v>45656</v>
      </c>
      <c r="C26" s="16">
        <f t="shared" ref="C26:C29" si="3">DAY(B26)</f>
        <v>30</v>
      </c>
      <c r="D26" s="16">
        <v>12</v>
      </c>
      <c r="E26" s="16">
        <v>2024</v>
      </c>
      <c r="H26">
        <v>2</v>
      </c>
      <c r="I26" s="26">
        <f t="shared" ref="I26:I29" si="4">EOMONTH(B26,0)</f>
        <v>45657</v>
      </c>
      <c r="J26" s="26">
        <f t="shared" ref="J26:J29" si="5">EOMONTH(B26,-1)</f>
        <v>45626</v>
      </c>
      <c r="K26" s="26">
        <f t="shared" ref="K26:K29" si="6">EOMONTH(B26,1)</f>
        <v>45688</v>
      </c>
      <c r="L26">
        <f t="shared" ref="L26:L29" si="7">I26-J26</f>
        <v>31</v>
      </c>
    </row>
    <row r="27" spans="2:12" x14ac:dyDescent="0.3">
      <c r="B27" s="40">
        <v>44602</v>
      </c>
      <c r="C27" s="16">
        <f t="shared" si="3"/>
        <v>10</v>
      </c>
      <c r="D27" s="16">
        <v>2</v>
      </c>
      <c r="E27" s="16">
        <v>2022</v>
      </c>
      <c r="H27">
        <v>5</v>
      </c>
      <c r="I27" s="26">
        <f t="shared" si="4"/>
        <v>44620</v>
      </c>
      <c r="J27" s="26">
        <f t="shared" si="5"/>
        <v>44592</v>
      </c>
      <c r="K27" s="26">
        <f t="shared" si="6"/>
        <v>44651</v>
      </c>
      <c r="L27">
        <f t="shared" si="7"/>
        <v>28</v>
      </c>
    </row>
    <row r="28" spans="2:12" x14ac:dyDescent="0.3">
      <c r="B28" s="40">
        <v>44203</v>
      </c>
      <c r="C28" s="16">
        <f t="shared" si="3"/>
        <v>7</v>
      </c>
      <c r="D28" s="16">
        <v>1</v>
      </c>
      <c r="E28" s="16">
        <v>2021</v>
      </c>
      <c r="H28">
        <v>5</v>
      </c>
      <c r="I28" s="26">
        <f t="shared" si="4"/>
        <v>44227</v>
      </c>
      <c r="J28" s="26">
        <f t="shared" si="5"/>
        <v>44196</v>
      </c>
      <c r="K28" s="26">
        <f t="shared" si="6"/>
        <v>44255</v>
      </c>
      <c r="L28">
        <f t="shared" si="7"/>
        <v>31</v>
      </c>
    </row>
    <row r="29" spans="2:12" x14ac:dyDescent="0.3">
      <c r="B29" s="40">
        <v>44082</v>
      </c>
      <c r="C29" s="16">
        <f t="shared" si="3"/>
        <v>8</v>
      </c>
      <c r="D29" s="16">
        <v>9</v>
      </c>
      <c r="E29" s="16">
        <v>2020</v>
      </c>
      <c r="H29">
        <v>3</v>
      </c>
      <c r="I29" s="26">
        <f t="shared" si="4"/>
        <v>44104</v>
      </c>
      <c r="J29" s="26">
        <f t="shared" si="5"/>
        <v>44074</v>
      </c>
      <c r="K29" s="26">
        <f t="shared" si="6"/>
        <v>44135</v>
      </c>
      <c r="L29">
        <f t="shared" si="7"/>
        <v>30</v>
      </c>
    </row>
    <row r="30" spans="2:12" x14ac:dyDescent="0.3">
      <c r="B30" s="39"/>
    </row>
    <row r="31" spans="2:12" x14ac:dyDescent="0.3">
      <c r="B31" s="36">
        <f>EOMONTH(B25,0)</f>
        <v>45808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118D-8A09-4384-BC76-EE4365DC0852}">
  <dimension ref="B2:B30"/>
  <sheetViews>
    <sheetView tabSelected="1" workbookViewId="0">
      <selection activeCell="L30" sqref="L30"/>
    </sheetView>
  </sheetViews>
  <sheetFormatPr baseColWidth="10" defaultRowHeight="14.4" x14ac:dyDescent="0.3"/>
  <sheetData>
    <row r="2" spans="2:2" ht="18" x14ac:dyDescent="0.35">
      <c r="B2" s="9" t="s">
        <v>98</v>
      </c>
    </row>
    <row r="4" spans="2:2" x14ac:dyDescent="0.3">
      <c r="B4" t="s">
        <v>97</v>
      </c>
    </row>
    <row r="6" spans="2:2" x14ac:dyDescent="0.3">
      <c r="B6" t="s">
        <v>99</v>
      </c>
    </row>
    <row r="8" spans="2:2" ht="18" x14ac:dyDescent="0.35">
      <c r="B8" s="9" t="s">
        <v>100</v>
      </c>
    </row>
    <row r="9" spans="2:2" x14ac:dyDescent="0.3">
      <c r="B9" t="s">
        <v>101</v>
      </c>
    </row>
    <row r="10" spans="2:2" x14ac:dyDescent="0.3">
      <c r="B10" t="s">
        <v>102</v>
      </c>
    </row>
    <row r="14" spans="2:2" ht="18" x14ac:dyDescent="0.35">
      <c r="B14" s="9" t="s">
        <v>103</v>
      </c>
    </row>
    <row r="15" spans="2:2" x14ac:dyDescent="0.3">
      <c r="B15" t="s">
        <v>104</v>
      </c>
    </row>
    <row r="24" spans="2:2" x14ac:dyDescent="0.3">
      <c r="B24" t="s">
        <v>105</v>
      </c>
    </row>
    <row r="25" spans="2:2" x14ac:dyDescent="0.3">
      <c r="B25" t="s">
        <v>106</v>
      </c>
    </row>
    <row r="28" spans="2:2" ht="18" x14ac:dyDescent="0.35">
      <c r="B28" s="9" t="s">
        <v>107</v>
      </c>
    </row>
    <row r="29" spans="2:2" x14ac:dyDescent="0.3">
      <c r="B29" t="s">
        <v>109</v>
      </c>
    </row>
    <row r="30" spans="2:2" x14ac:dyDescent="0.3">
      <c r="B30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IMPROVISATION</vt:lpstr>
      <vt:lpstr>Formules de base</vt:lpstr>
      <vt:lpstr>Fonctions cond. et logiques</vt:lpstr>
      <vt:lpstr>Fonctions de date</vt:lpstr>
      <vt:lpstr>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Sébastien Rousseau</cp:lastModifiedBy>
  <dcterms:created xsi:type="dcterms:W3CDTF">2015-06-05T18:19:34Z</dcterms:created>
  <dcterms:modified xsi:type="dcterms:W3CDTF">2025-09-11T20:57:23Z</dcterms:modified>
</cp:coreProperties>
</file>