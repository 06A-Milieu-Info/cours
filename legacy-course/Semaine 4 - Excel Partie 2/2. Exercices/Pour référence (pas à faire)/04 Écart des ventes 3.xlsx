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/>
  <mc:AlternateContent xmlns:mc="http://schemas.openxmlformats.org/markup-compatibility/2006">
    <mc:Choice Requires="x15">
      <x15ac:absPath xmlns:x15ac="http://schemas.microsoft.com/office/spreadsheetml/2010/11/ac" url="https://livecegepfxgqc-my.sharepoint.com/personal/mhardy_cegepgarneau_ca/Documents/06A - Milieux de l'informatique/420-06A-S04 - Excel - Partie 2/Exercices/"/>
    </mc:Choice>
  </mc:AlternateContent>
  <xr:revisionPtr revIDLastSave="0" documentId="8_{51FE1A67-AD4C-4670-9ED0-FE0A265010FD}" xr6:coauthVersionLast="47" xr6:coauthVersionMax="47" xr10:uidLastSave="{00000000-0000-0000-0000-000000000000}"/>
  <bookViews>
    <workbookView xWindow="15330" yWindow="1185" windowWidth="23070" windowHeight="19065" xr2:uid="{00000000-000D-0000-FFFF-FFFF00000000}"/>
  </bookViews>
  <sheets>
    <sheet name="Feuil1" sheetId="1" r:id="rId1"/>
  </sheets>
  <definedNames>
    <definedName name="_xlnm.Print_Titles" localSheetId="0">Feuil1!$A:$A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1" l="1"/>
  <c r="L14" i="1"/>
  <c r="M14" i="1"/>
  <c r="O14" i="1"/>
  <c r="C14" i="1"/>
  <c r="D14" i="1"/>
  <c r="E14" i="1"/>
  <c r="F14" i="1"/>
  <c r="G14" i="1"/>
  <c r="H14" i="1"/>
  <c r="I14" i="1"/>
  <c r="J14" i="1"/>
  <c r="B14" i="1"/>
  <c r="N12" i="1"/>
  <c r="P12" i="1" s="1"/>
  <c r="N4" i="1"/>
  <c r="P4" i="1" s="1"/>
  <c r="N5" i="1"/>
  <c r="P5" i="1" s="1"/>
  <c r="Q5" i="1" s="1"/>
  <c r="N6" i="1"/>
  <c r="P6" i="1"/>
  <c r="Q6" i="1" s="1"/>
  <c r="N7" i="1"/>
  <c r="P7" i="1" s="1"/>
  <c r="Q7" i="1" s="1"/>
  <c r="N8" i="1"/>
  <c r="P8" i="1" s="1"/>
  <c r="Q8" i="1" s="1"/>
  <c r="N9" i="1"/>
  <c r="P9" i="1" s="1"/>
  <c r="Q9" i="1" s="1"/>
  <c r="N10" i="1"/>
  <c r="P10" i="1"/>
  <c r="Q10" i="1" s="1"/>
  <c r="N11" i="1"/>
  <c r="P11" i="1" s="1"/>
  <c r="Q11" i="1" s="1"/>
  <c r="P14" i="1" l="1"/>
  <c r="N14" i="1"/>
  <c r="Q4" i="1"/>
  <c r="Q12" i="1"/>
</calcChain>
</file>

<file path=xl/sharedStrings.xml><?xml version="1.0" encoding="utf-8"?>
<sst xmlns="http://schemas.openxmlformats.org/spreadsheetml/2006/main" count="27" uniqueCount="26">
  <si>
    <t>Total</t>
  </si>
  <si>
    <t>Beurre de pacane</t>
  </si>
  <si>
    <t>Brisures de chocolat</t>
  </si>
  <si>
    <t>Morceaux de chocolat</t>
  </si>
  <si>
    <t>Double fondant</t>
  </si>
  <si>
    <t>Érable</t>
  </si>
  <si>
    <t>Délice aux fraises</t>
  </si>
  <si>
    <t>Crème à la vanille</t>
  </si>
  <si>
    <t>Avoine et raisins</t>
  </si>
  <si>
    <t>Produit</t>
  </si>
  <si>
    <t>Quatre fruits</t>
  </si>
  <si>
    <t>Mars</t>
  </si>
  <si>
    <t>Mai</t>
  </si>
  <si>
    <t>Juin</t>
  </si>
  <si>
    <t>Sept</t>
  </si>
  <si>
    <t>Écart</t>
  </si>
  <si>
    <t>Écart (%)</t>
  </si>
  <si>
    <t>Année préc.</t>
  </si>
  <si>
    <t>Janv</t>
  </si>
  <si>
    <t>Févr</t>
  </si>
  <si>
    <t>Avr</t>
  </si>
  <si>
    <t>Juil</t>
  </si>
  <si>
    <t>Août</t>
  </si>
  <si>
    <t>Oct</t>
  </si>
  <si>
    <t>Nov</t>
  </si>
  <si>
    <t>Déc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</si>
</sst>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* #,##0.00_)\ &quot;$&quot;_ ;_ * \(#,##0.00\)\ &quot;$&quot;_ ;_ * &quot;-&quot;??_)\ &quot;$&quot;_ ;_ @_ "/>
    <numFmt numFmtId="164" formatCode="_ * #,##0.00_)\ _$_ ;_ * \(#,##0.00\)\ _$_ ;_ * &quot;-&quot;??_)\ _$_ ;_ @_ "/>
    <numFmt numFmtId="165" formatCode="_ * #,##0_)\ _$_ ;_ * \(#,##0\)\ _$_ ;_ * &quot;-&quot;??_)\ _$_ ;_ @_ "/>
    <numFmt numFmtId="166" formatCode="_ * #,##0_)\ &quot;$&quot;_ ;_ * \(#,##0\)\ &quot;$&quot;_ ;_ * &quot;-&quot;??_)\ &quot;$&quot;_ ;_ @_ "/>
    <numFmt numFmtId="167" formatCode="0.0%"/>
  </numFmts>
  <fonts count="4" x14ac:knownFonts="1">
    <font>
      <sz val="10"/>
      <name val="Arial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166" fontId="2" fillId="0" borderId="0" xfId="2" applyNumberFormat="1" applyFont="1" applyFill="1" applyBorder="1"/>
    <xf numFmtId="0" fontId="3" fillId="0" borderId="0" xfId="0" applyFont="1" applyAlignment="1">
      <alignment horizontal="left" indent="1"/>
    </xf>
    <xf numFmtId="166" fontId="2" fillId="0" borderId="0" xfId="0" applyNumberFormat="1" applyFont="1"/>
    <xf numFmtId="167" fontId="2" fillId="0" borderId="0" xfId="3" applyNumberFormat="1" applyFont="1" applyFill="1" applyBorder="1"/>
    <xf numFmtId="165" fontId="2" fillId="0" borderId="0" xfId="1" applyNumberFormat="1" applyFont="1" applyFill="1" applyBorder="1"/>
    <xf numFmtId="0" fontId="3" fillId="0" borderId="0" xfId="0" applyFont="1" applyAlignment="1">
      <alignment horizontal="left"/>
    </xf>
    <xf numFmtId="166" fontId="3" fillId="0" borderId="0" xfId="2" applyNumberFormat="1" applyFont="1" applyFill="1" applyBorder="1"/>
    <xf numFmtId="167" fontId="3" fillId="0" borderId="0" xfId="3" applyNumberFormat="1" applyFont="1" applyFill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4">
    <cellStyle name="Milliers" xfId="1" builtinId="3"/>
    <cellStyle name="Monétaire" xfId="2" builtinId="4"/>
    <cellStyle name="Normal" xfId="0" builtinId="0"/>
    <cellStyle name="Pourcentag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Q16"/>
  <sheetViews>
    <sheetView tabSelected="1" zoomScaleNormal="100" zoomScaleSheetLayoutView="90" workbookViewId="0"/>
  </sheetViews>
  <sheetFormatPr baseColWidth="10" defaultColWidth="11.42578125" defaultRowHeight="15" x14ac:dyDescent="0.25"/>
  <cols>
    <col min="1" max="1" width="22.42578125" style="1" bestFit="1" customWidth="1"/>
    <col min="2" max="13" width="9.85546875" style="1" customWidth="1"/>
    <col min="14" max="14" width="9.7109375" style="1" bestFit="1" customWidth="1"/>
    <col min="15" max="15" width="11.7109375" style="1" bestFit="1" customWidth="1"/>
    <col min="16" max="16" width="9.85546875" style="1" bestFit="1" customWidth="1"/>
    <col min="17" max="17" width="10.28515625" style="1" customWidth="1"/>
    <col min="18" max="16384" width="11.42578125" style="1"/>
  </cols>
  <sheetData>
    <row r="3" spans="1:17" ht="15.75" thickBot="1" x14ac:dyDescent="0.3">
      <c r="A3" s="11" t="s">
        <v>9</v>
      </c>
      <c r="B3" s="12" t="s">
        <v>18</v>
      </c>
      <c r="C3" s="12" t="s">
        <v>19</v>
      </c>
      <c r="D3" s="12" t="s">
        <v>11</v>
      </c>
      <c r="E3" s="12" t="s">
        <v>20</v>
      </c>
      <c r="F3" s="12" t="s">
        <v>12</v>
      </c>
      <c r="G3" s="12" t="s">
        <v>13</v>
      </c>
      <c r="H3" s="12" t="s">
        <v>21</v>
      </c>
      <c r="I3" s="12" t="s">
        <v>22</v>
      </c>
      <c r="J3" s="12" t="s">
        <v>14</v>
      </c>
      <c r="K3" s="12" t="s">
        <v>23</v>
      </c>
      <c r="L3" s="12" t="s">
        <v>24</v>
      </c>
      <c r="M3" s="12" t="s">
        <v>25</v>
      </c>
      <c r="N3" s="12" t="s">
        <v>0</v>
      </c>
      <c r="O3" s="12" t="s">
        <v>17</v>
      </c>
      <c r="P3" s="12" t="s">
        <v>15</v>
      </c>
      <c r="Q3" s="12" t="s">
        <v>16</v>
      </c>
    </row>
    <row r="4" spans="1:17" x14ac:dyDescent="0.25">
      <c r="A4" s="4" t="s">
        <v>1</v>
      </c>
      <c r="B4" s="3">
        <v>750</v>
      </c>
      <c r="C4" s="3">
        <v>825</v>
      </c>
      <c r="D4" s="3">
        <v>713</v>
      </c>
      <c r="E4" s="3">
        <v>800</v>
      </c>
      <c r="F4" s="3">
        <v>691</v>
      </c>
      <c r="G4" s="3">
        <v>776</v>
      </c>
      <c r="H4" s="3">
        <v>670</v>
      </c>
      <c r="I4" s="3">
        <v>753</v>
      </c>
      <c r="J4" s="3">
        <v>650</v>
      </c>
      <c r="K4" s="3">
        <v>730</v>
      </c>
      <c r="L4" s="3">
        <v>631</v>
      </c>
      <c r="M4" s="3">
        <v>708</v>
      </c>
      <c r="N4" s="3">
        <f>SUM(B4:M4)</f>
        <v>8697</v>
      </c>
      <c r="O4" s="3">
        <v>8250</v>
      </c>
      <c r="P4" s="5">
        <f>N4-O4</f>
        <v>447</v>
      </c>
      <c r="Q4" s="6">
        <f>P4/O4</f>
        <v>5.4181818181818185E-2</v>
      </c>
    </row>
    <row r="5" spans="1:17" x14ac:dyDescent="0.25">
      <c r="A5" s="4" t="s">
        <v>2</v>
      </c>
      <c r="B5" s="7">
        <v>1300</v>
      </c>
      <c r="C5" s="7">
        <v>1430</v>
      </c>
      <c r="D5" s="7">
        <v>1235</v>
      </c>
      <c r="E5" s="7">
        <v>1387</v>
      </c>
      <c r="F5" s="7">
        <v>1198</v>
      </c>
      <c r="G5" s="7">
        <v>1345</v>
      </c>
      <c r="H5" s="7">
        <v>1162</v>
      </c>
      <c r="I5" s="7">
        <v>1305</v>
      </c>
      <c r="J5" s="7">
        <v>1127</v>
      </c>
      <c r="K5" s="7">
        <v>1266</v>
      </c>
      <c r="L5" s="7">
        <v>1093</v>
      </c>
      <c r="M5" s="7">
        <v>1228</v>
      </c>
      <c r="N5" s="7">
        <f t="shared" ref="N5:N12" si="0">SUM(B5:M5)</f>
        <v>15076</v>
      </c>
      <c r="O5" s="7">
        <v>14000</v>
      </c>
      <c r="P5" s="7">
        <f t="shared" ref="P5:P12" si="1">N5-O5</f>
        <v>1076</v>
      </c>
      <c r="Q5" s="6">
        <f t="shared" ref="Q5:Q12" si="2">P5/O5</f>
        <v>7.685714285714286E-2</v>
      </c>
    </row>
    <row r="6" spans="1:17" x14ac:dyDescent="0.25">
      <c r="A6" s="4" t="s">
        <v>3</v>
      </c>
      <c r="B6" s="7">
        <v>1000</v>
      </c>
      <c r="C6" s="7">
        <v>1100</v>
      </c>
      <c r="D6" s="7">
        <v>950</v>
      </c>
      <c r="E6" s="7">
        <v>1067</v>
      </c>
      <c r="F6" s="7">
        <v>922</v>
      </c>
      <c r="G6" s="7">
        <v>1035</v>
      </c>
      <c r="H6" s="7">
        <v>894</v>
      </c>
      <c r="I6" s="7">
        <v>1004</v>
      </c>
      <c r="J6" s="7">
        <v>867</v>
      </c>
      <c r="K6" s="7">
        <v>974</v>
      </c>
      <c r="L6" s="7">
        <v>841</v>
      </c>
      <c r="M6" s="7">
        <v>945</v>
      </c>
      <c r="N6" s="7">
        <f t="shared" si="0"/>
        <v>11599</v>
      </c>
      <c r="O6" s="7">
        <v>11200</v>
      </c>
      <c r="P6" s="7">
        <f t="shared" si="1"/>
        <v>399</v>
      </c>
      <c r="Q6" s="6">
        <f t="shared" si="2"/>
        <v>3.5624999999999997E-2</v>
      </c>
    </row>
    <row r="7" spans="1:17" x14ac:dyDescent="0.25">
      <c r="A7" s="4" t="s">
        <v>4</v>
      </c>
      <c r="B7" s="7">
        <v>950</v>
      </c>
      <c r="C7" s="7">
        <v>1045</v>
      </c>
      <c r="D7" s="7">
        <v>903</v>
      </c>
      <c r="E7" s="7">
        <v>1014</v>
      </c>
      <c r="F7" s="7">
        <v>875</v>
      </c>
      <c r="G7" s="7">
        <v>983</v>
      </c>
      <c r="H7" s="7">
        <v>849</v>
      </c>
      <c r="I7" s="7">
        <v>954</v>
      </c>
      <c r="J7" s="7">
        <v>824</v>
      </c>
      <c r="K7" s="7">
        <v>925</v>
      </c>
      <c r="L7" s="7">
        <v>799</v>
      </c>
      <c r="M7" s="7">
        <v>897</v>
      </c>
      <c r="N7" s="7">
        <f t="shared" si="0"/>
        <v>11018</v>
      </c>
      <c r="O7" s="7">
        <v>12333</v>
      </c>
      <c r="P7" s="7">
        <f t="shared" si="1"/>
        <v>-1315</v>
      </c>
      <c r="Q7" s="6">
        <f t="shared" si="2"/>
        <v>-0.10662450336495581</v>
      </c>
    </row>
    <row r="8" spans="1:17" x14ac:dyDescent="0.25">
      <c r="A8" s="4" t="s">
        <v>10</v>
      </c>
      <c r="B8" s="7">
        <v>420</v>
      </c>
      <c r="C8" s="7">
        <v>462</v>
      </c>
      <c r="D8" s="7">
        <v>399</v>
      </c>
      <c r="E8" s="7">
        <v>448</v>
      </c>
      <c r="F8" s="7">
        <v>387</v>
      </c>
      <c r="G8" s="7">
        <v>435</v>
      </c>
      <c r="H8" s="7">
        <v>375</v>
      </c>
      <c r="I8" s="7">
        <v>422</v>
      </c>
      <c r="J8" s="7">
        <v>364</v>
      </c>
      <c r="K8" s="7">
        <v>409</v>
      </c>
      <c r="L8" s="7">
        <v>353</v>
      </c>
      <c r="M8" s="7">
        <v>397</v>
      </c>
      <c r="N8" s="7">
        <f t="shared" si="0"/>
        <v>4871</v>
      </c>
      <c r="O8" s="7">
        <v>5600</v>
      </c>
      <c r="P8" s="7">
        <f t="shared" si="1"/>
        <v>-729</v>
      </c>
      <c r="Q8" s="6">
        <f t="shared" si="2"/>
        <v>-0.13017857142857142</v>
      </c>
    </row>
    <row r="9" spans="1:17" x14ac:dyDescent="0.25">
      <c r="A9" s="4" t="s">
        <v>5</v>
      </c>
      <c r="B9" s="7">
        <v>250</v>
      </c>
      <c r="C9" s="7">
        <v>275</v>
      </c>
      <c r="D9" s="7">
        <v>238</v>
      </c>
      <c r="E9" s="7">
        <v>267</v>
      </c>
      <c r="F9" s="7">
        <v>230</v>
      </c>
      <c r="G9" s="7">
        <v>259</v>
      </c>
      <c r="H9" s="7">
        <v>223</v>
      </c>
      <c r="I9" s="7">
        <v>251</v>
      </c>
      <c r="J9" s="7">
        <v>217</v>
      </c>
      <c r="K9" s="7">
        <v>243</v>
      </c>
      <c r="L9" s="7">
        <v>210</v>
      </c>
      <c r="M9" s="7">
        <v>236</v>
      </c>
      <c r="N9" s="7">
        <f t="shared" si="0"/>
        <v>2899</v>
      </c>
      <c r="O9" s="7">
        <v>2560</v>
      </c>
      <c r="P9" s="7">
        <f t="shared" si="1"/>
        <v>339</v>
      </c>
      <c r="Q9" s="6">
        <f t="shared" si="2"/>
        <v>0.13242187499999999</v>
      </c>
    </row>
    <row r="10" spans="1:17" x14ac:dyDescent="0.25">
      <c r="A10" s="4" t="s">
        <v>8</v>
      </c>
      <c r="B10" s="7">
        <v>980</v>
      </c>
      <c r="C10" s="7">
        <v>1078</v>
      </c>
      <c r="D10" s="7">
        <v>931</v>
      </c>
      <c r="E10" s="7">
        <v>1046</v>
      </c>
      <c r="F10" s="7">
        <v>903</v>
      </c>
      <c r="G10" s="7">
        <v>1014</v>
      </c>
      <c r="H10" s="7">
        <v>876</v>
      </c>
      <c r="I10" s="7">
        <v>984</v>
      </c>
      <c r="J10" s="7">
        <v>850</v>
      </c>
      <c r="K10" s="7">
        <v>954</v>
      </c>
      <c r="L10" s="7">
        <v>824</v>
      </c>
      <c r="M10" s="7">
        <v>926</v>
      </c>
      <c r="N10" s="7">
        <f t="shared" si="0"/>
        <v>11366</v>
      </c>
      <c r="O10" s="7">
        <v>11000</v>
      </c>
      <c r="P10" s="7">
        <f t="shared" si="1"/>
        <v>366</v>
      </c>
      <c r="Q10" s="6">
        <f t="shared" si="2"/>
        <v>3.3272727272727273E-2</v>
      </c>
    </row>
    <row r="11" spans="1:17" x14ac:dyDescent="0.25">
      <c r="A11" s="4" t="s">
        <v>6</v>
      </c>
      <c r="B11" s="7">
        <v>760</v>
      </c>
      <c r="C11" s="7">
        <v>836</v>
      </c>
      <c r="D11" s="7">
        <v>722</v>
      </c>
      <c r="E11" s="7">
        <v>811</v>
      </c>
      <c r="F11" s="7">
        <v>700</v>
      </c>
      <c r="G11" s="7">
        <v>787</v>
      </c>
      <c r="H11" s="7">
        <v>679</v>
      </c>
      <c r="I11" s="7">
        <v>763</v>
      </c>
      <c r="J11" s="7">
        <v>659</v>
      </c>
      <c r="K11" s="7">
        <v>740</v>
      </c>
      <c r="L11" s="7">
        <v>639</v>
      </c>
      <c r="M11" s="7">
        <v>718</v>
      </c>
      <c r="N11" s="7">
        <f t="shared" si="0"/>
        <v>8814</v>
      </c>
      <c r="O11" s="7">
        <v>8700</v>
      </c>
      <c r="P11" s="7">
        <f t="shared" si="1"/>
        <v>114</v>
      </c>
      <c r="Q11" s="6">
        <f t="shared" si="2"/>
        <v>1.3103448275862069E-2</v>
      </c>
    </row>
    <row r="12" spans="1:17" x14ac:dyDescent="0.25">
      <c r="A12" s="4" t="s">
        <v>7</v>
      </c>
      <c r="B12" s="7">
        <v>700</v>
      </c>
      <c r="C12" s="7">
        <v>770</v>
      </c>
      <c r="D12" s="7">
        <v>665</v>
      </c>
      <c r="E12" s="7">
        <v>747</v>
      </c>
      <c r="F12" s="7">
        <v>645</v>
      </c>
      <c r="G12" s="7">
        <v>724</v>
      </c>
      <c r="H12" s="7">
        <v>626</v>
      </c>
      <c r="I12" s="7">
        <v>703</v>
      </c>
      <c r="J12" s="7">
        <v>607</v>
      </c>
      <c r="K12" s="7">
        <v>682</v>
      </c>
      <c r="L12" s="7">
        <v>589</v>
      </c>
      <c r="M12" s="7">
        <v>661</v>
      </c>
      <c r="N12" s="7">
        <f t="shared" si="0"/>
        <v>8119</v>
      </c>
      <c r="O12" s="7">
        <v>8000</v>
      </c>
      <c r="P12" s="7">
        <f t="shared" si="1"/>
        <v>119</v>
      </c>
      <c r="Q12" s="6">
        <f t="shared" si="2"/>
        <v>1.4874999999999999E-2</v>
      </c>
    </row>
    <row r="13" spans="1:17" x14ac:dyDescent="0.25">
      <c r="A13" s="4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6"/>
    </row>
    <row r="14" spans="1:17" x14ac:dyDescent="0.25">
      <c r="A14" s="8" t="s">
        <v>0</v>
      </c>
      <c r="B14" s="9">
        <f>SUM(B4:B13)</f>
        <v>7110</v>
      </c>
      <c r="C14" s="9">
        <f t="shared" ref="C14:J14" si="3">SUM(C4:C13)</f>
        <v>7821</v>
      </c>
      <c r="D14" s="9">
        <f t="shared" si="3"/>
        <v>6756</v>
      </c>
      <c r="E14" s="9">
        <f t="shared" si="3"/>
        <v>7587</v>
      </c>
      <c r="F14" s="9">
        <f t="shared" si="3"/>
        <v>6551</v>
      </c>
      <c r="G14" s="9">
        <f t="shared" si="3"/>
        <v>7358</v>
      </c>
      <c r="H14" s="9">
        <f t="shared" si="3"/>
        <v>6354</v>
      </c>
      <c r="I14" s="9">
        <f t="shared" si="3"/>
        <v>7139</v>
      </c>
      <c r="J14" s="9">
        <f t="shared" si="3"/>
        <v>6165</v>
      </c>
      <c r="K14" s="9">
        <f t="shared" ref="K14" si="4">SUM(K4:K13)</f>
        <v>6923</v>
      </c>
      <c r="L14" s="9">
        <f t="shared" ref="L14" si="5">SUM(L4:L13)</f>
        <v>5979</v>
      </c>
      <c r="M14" s="9">
        <f t="shared" ref="M14" si="6">SUM(M4:M13)</f>
        <v>6716</v>
      </c>
      <c r="N14" s="9">
        <f t="shared" ref="N14" si="7">SUM(N4:N13)</f>
        <v>82459</v>
      </c>
      <c r="O14" s="9">
        <f t="shared" ref="O14" si="8">SUM(O4:O13)</f>
        <v>81643</v>
      </c>
      <c r="P14" s="9">
        <f t="shared" ref="P14" si="9">SUM(P4:P13)</f>
        <v>816</v>
      </c>
      <c r="Q14" s="10"/>
    </row>
    <row r="15" spans="1:17" x14ac:dyDescent="0.25">
      <c r="B15" s="7"/>
      <c r="C15" s="7"/>
      <c r="D15" s="7"/>
      <c r="E15" s="7"/>
    </row>
    <row r="16" spans="1:17" x14ac:dyDescent="0.25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6"/>
    </row>
  </sheetData>
  <phoneticPr fontId="0" type="noConversion"/>
  <pageMargins left="0.39370078740157483" right="0.39370078740157483" top="1.3779527559055118" bottom="0.98425196850393704" header="0.51181102362204722" footer="0.51181102362204722"/>
  <pageSetup orientation="portrait" r:id="rId1"/>
  <headerFooter alignWithMargins="0">
    <oddHeader>&amp;C&amp;"Trebuchet MS,Bold Italic"&amp;18Fabrique de biscuits Petite douceur&amp;"Arial,Regular"&amp;10
&amp;"Trebuchet MS,Regular"&amp;14Rapport annuel des ventes</oddHeader>
    <oddFooter>&amp;L&amp;D&amp;RPage &amp;P</oddFooter>
  </headerFooter>
  <colBreaks count="2" manualBreakCount="2">
    <brk id="7" max="1048575" man="1"/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Feuil1!Impression_des_titres</vt:lpstr>
    </vt:vector>
  </TitlesOfParts>
  <Company>Logitell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Logitell</dc:creator>
  <cp:lastModifiedBy>Martin Hardy</cp:lastModifiedBy>
  <cp:lastPrinted>2013-04-18T13:53:48Z</cp:lastPrinted>
  <dcterms:created xsi:type="dcterms:W3CDTF">1997-12-10T14:22:31Z</dcterms:created>
  <dcterms:modified xsi:type="dcterms:W3CDTF">2022-09-06T19:58:03Z</dcterms:modified>
</cp:coreProperties>
</file>