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5\"/>
    </mc:Choice>
  </mc:AlternateContent>
  <xr:revisionPtr revIDLastSave="0" documentId="13_ncr:1_{35055102-85E7-44EB-B00E-0A4FAC73C4A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Improvisation" sheetId="1" r:id="rId1"/>
    <sheet name="Fonctions mathématiques" sheetId="2" r:id="rId2"/>
    <sheet name="Tableaux, filtres et tris" sheetId="3" r:id="rId3"/>
    <sheet name="Validation et recherche" sheetId="4" r:id="rId4"/>
    <sheet name="Mise en forme cond." sheetId="5" r:id="rId5"/>
  </sheets>
  <definedNames>
    <definedName name="_xlnm._FilterDatabase" localSheetId="2" hidden="1">'Tableaux, filtres et tris'!$B$31:$D$48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4" l="1"/>
  <c r="D53" i="2"/>
  <c r="E53" i="2"/>
  <c r="F53" i="2"/>
  <c r="G53" i="2"/>
  <c r="H53" i="2"/>
  <c r="I53" i="2"/>
  <c r="D54" i="2"/>
  <c r="E54" i="2"/>
  <c r="F54" i="2"/>
  <c r="G54" i="2"/>
  <c r="H54" i="2"/>
  <c r="I54" i="2"/>
  <c r="D55" i="2"/>
  <c r="E55" i="2"/>
  <c r="F55" i="2"/>
  <c r="G55" i="2"/>
  <c r="H55" i="2"/>
  <c r="I55" i="2"/>
  <c r="C55" i="2"/>
  <c r="C54" i="2"/>
  <c r="C53" i="2"/>
  <c r="F31" i="2"/>
  <c r="G31" i="2"/>
  <c r="H31" i="2"/>
  <c r="F32" i="2"/>
  <c r="G32" i="2"/>
  <c r="H32" i="2"/>
  <c r="H30" i="2"/>
  <c r="G30" i="2"/>
  <c r="F30" i="2"/>
  <c r="I16" i="2"/>
  <c r="D10" i="2"/>
</calcChain>
</file>

<file path=xl/sharedStrings.xml><?xml version="1.0" encoding="utf-8"?>
<sst xmlns="http://schemas.openxmlformats.org/spreadsheetml/2006/main" count="235" uniqueCount="206">
  <si>
    <t>La fonction ARRONDI</t>
  </si>
  <si>
    <t>=ARRONDI(nombre; nb_décimales)</t>
  </si>
  <si>
    <t>La fonction ARRONDI permet d'arrondir un nombre à l'entier supérieur ou inférieur le plus près.</t>
  </si>
  <si>
    <t>.5 et plus</t>
  </si>
  <si>
    <t>Entier supérieur</t>
  </si>
  <si>
    <t>.49 et moins</t>
  </si>
  <si>
    <t>Entier inférieur</t>
  </si>
  <si>
    <t>Nombre décimales</t>
  </si>
  <si>
    <t>Résultat</t>
  </si>
  <si>
    <t>Nombre</t>
  </si>
  <si>
    <t>Nombre de décimales</t>
  </si>
  <si>
    <t>0 : arrondir au chiffre entier</t>
  </si>
  <si>
    <t>1 : une chiffre après la virgule</t>
  </si>
  <si>
    <t>2 : deux chiffres après la virgule</t>
  </si>
  <si>
    <t>n : n chiffres après la virgule</t>
  </si>
  <si>
    <t>La fonction ENT</t>
  </si>
  <si>
    <t>=ENT(nombre)</t>
  </si>
  <si>
    <t>La fonction ENT permet de retirer la portion entière d'un chiffre.</t>
  </si>
  <si>
    <t>Entier</t>
  </si>
  <si>
    <t>Autrement dit, on "arrondi" toujours à l'entier inférieur avec cette formule.</t>
  </si>
  <si>
    <t>La fonction MOYENNE</t>
  </si>
  <si>
    <t>La fonction MAX</t>
  </si>
  <si>
    <t>La fonction MIN</t>
  </si>
  <si>
    <t>Donne la moyenne de l'étendue</t>
  </si>
  <si>
    <t>Donne la plus haute valeur d'une étendue</t>
  </si>
  <si>
    <t>Donne la plus basse valeur d'une étendue</t>
  </si>
  <si>
    <t>=MOYENNE( plage1 ; plage2 ; plage3 ; …)</t>
  </si>
  <si>
    <t>=MAX( plage1 ; plage2 ; plage3 ; …)</t>
  </si>
  <si>
    <t>=MIN( plage1 ; plage2 ; plage3 ; …)</t>
  </si>
  <si>
    <t>Résultat 1</t>
  </si>
  <si>
    <t>Résultat 2</t>
  </si>
  <si>
    <t>Résultat 3</t>
  </si>
  <si>
    <t>Moyenne</t>
  </si>
  <si>
    <t>Max</t>
  </si>
  <si>
    <t>Min</t>
  </si>
  <si>
    <t>Les fonctions MOYENNE, MAX, et MIN</t>
  </si>
  <si>
    <t>Les fonctions NB, NBVAL, et NB.VIDE</t>
  </si>
  <si>
    <t>La fonction NB</t>
  </si>
  <si>
    <t>Nombre de cellules contenant des nombres</t>
  </si>
  <si>
    <t>dans une plage donnée.</t>
  </si>
  <si>
    <t>qqchose) dans une plage donnée.</t>
  </si>
  <si>
    <t>Nombre de cellules non vides (donc contenant</t>
  </si>
  <si>
    <t>Nombre de cellule vides dans une plage donnée.</t>
  </si>
  <si>
    <t>a</t>
  </si>
  <si>
    <t>ccc</t>
  </si>
  <si>
    <t>Bonjour</t>
  </si>
  <si>
    <t>test</t>
  </si>
  <si>
    <t>NB</t>
  </si>
  <si>
    <t>La fonction NBVAL</t>
  </si>
  <si>
    <t>La fonction NB.VIDE</t>
  </si>
  <si>
    <t>NBVAL</t>
  </si>
  <si>
    <t>NB.VIDE</t>
  </si>
  <si>
    <t>b</t>
  </si>
  <si>
    <t>c</t>
  </si>
  <si>
    <t>d</t>
  </si>
  <si>
    <t>e</t>
  </si>
  <si>
    <t>f</t>
  </si>
  <si>
    <t>g</t>
  </si>
  <si>
    <t>I70</t>
  </si>
  <si>
    <t>9O0</t>
  </si>
  <si>
    <t>15O</t>
  </si>
  <si>
    <t>5b</t>
  </si>
  <si>
    <t>=NB( plage1 ; plage2 ; plage3 ; …)</t>
  </si>
  <si>
    <t>=NBVAL( plage1 ; plage2 ; plage3 ; …)</t>
  </si>
  <si>
    <t>=NB.VIDE( plage1 ; plage2 ; plage3 ; …)</t>
  </si>
  <si>
    <t>Création de tableau</t>
  </si>
  <si>
    <t xml:space="preserve"> </t>
  </si>
  <si>
    <r>
      <t xml:space="preserve">Dans l'onglet " </t>
    </r>
    <r>
      <rPr>
        <b/>
        <sz val="11"/>
        <color theme="1"/>
        <rFont val="Calibri"/>
        <family val="2"/>
        <scheme val="minor"/>
      </rPr>
      <t>INSERTION</t>
    </r>
    <r>
      <rPr>
        <sz val="11"/>
        <color theme="1"/>
        <rFont val="Calibri"/>
        <family val="2"/>
        <scheme val="minor"/>
      </rPr>
      <t xml:space="preserve"> " de Excel, vous devriez trouver l'option " </t>
    </r>
    <r>
      <rPr>
        <b/>
        <sz val="11"/>
        <color theme="1"/>
        <rFont val="Calibri"/>
        <family val="2"/>
        <scheme val="minor"/>
      </rPr>
      <t>Tableau</t>
    </r>
    <r>
      <rPr>
        <sz val="11"/>
        <color theme="1"/>
        <rFont val="Calibri"/>
        <family val="2"/>
        <scheme val="minor"/>
      </rPr>
      <t>"</t>
    </r>
  </si>
  <si>
    <r>
      <t xml:space="preserve">Il y a une différence entre une </t>
    </r>
    <r>
      <rPr>
        <b/>
        <sz val="11"/>
        <color theme="1"/>
        <rFont val="Calibri"/>
        <family val="2"/>
        <scheme val="minor"/>
      </rPr>
      <t xml:space="preserve">plage de données </t>
    </r>
    <r>
      <rPr>
        <sz val="11"/>
        <color theme="1"/>
        <rFont val="Calibri"/>
        <family val="2"/>
        <scheme val="minor"/>
      </rPr>
      <t xml:space="preserve">et un </t>
    </r>
    <r>
      <rPr>
        <b/>
        <sz val="11"/>
        <color theme="1"/>
        <rFont val="Calibri"/>
        <family val="2"/>
        <scheme val="minor"/>
      </rPr>
      <t>tableau</t>
    </r>
    <r>
      <rPr>
        <sz val="11"/>
        <color theme="1"/>
        <rFont val="Calibri"/>
        <family val="2"/>
        <scheme val="minor"/>
      </rPr>
      <t>.</t>
    </r>
  </si>
  <si>
    <r>
      <t xml:space="preserve">La </t>
    </r>
    <r>
      <rPr>
        <i/>
        <sz val="11"/>
        <color theme="1"/>
        <rFont val="Calibri"/>
        <family val="2"/>
        <scheme val="minor"/>
      </rPr>
      <t>plage de donnée</t>
    </r>
    <r>
      <rPr>
        <sz val="11"/>
        <color theme="1"/>
        <rFont val="Calibri"/>
        <family val="2"/>
        <scheme val="minor"/>
      </rPr>
      <t>s est un étendue de cellules contigues sans fonctionnalité additionnelle.</t>
    </r>
  </si>
  <si>
    <r>
      <t xml:space="preserve">Le </t>
    </r>
    <r>
      <rPr>
        <i/>
        <sz val="11"/>
        <color theme="1"/>
        <rFont val="Calibri"/>
        <family val="2"/>
        <scheme val="minor"/>
      </rPr>
      <t>tableau</t>
    </r>
    <r>
      <rPr>
        <sz val="11"/>
        <color theme="1"/>
        <rFont val="Calibri"/>
        <family val="2"/>
        <scheme val="minor"/>
      </rPr>
      <t xml:space="preserve"> est un format attribué par Excel pour transformer une plage de données afin de lui donner des fonctionnalités additionnelles.</t>
    </r>
  </si>
  <si>
    <t>Colonne1</t>
  </si>
  <si>
    <t>Colonne2</t>
  </si>
  <si>
    <t>Colonne3</t>
  </si>
  <si>
    <r>
      <t xml:space="preserve">Il existe quelques </t>
    </r>
    <r>
      <rPr>
        <b/>
        <sz val="11"/>
        <color theme="1"/>
        <rFont val="Calibri"/>
        <family val="2"/>
        <scheme val="minor"/>
      </rPr>
      <t>limitations</t>
    </r>
    <r>
      <rPr>
        <sz val="11"/>
        <color theme="1"/>
        <rFont val="Calibri"/>
        <family val="2"/>
        <scheme val="minor"/>
      </rPr>
      <t xml:space="preserve"> aux tableaux.</t>
    </r>
  </si>
  <si>
    <r>
      <t xml:space="preserve">Pour vous, c'est surtout au niveau de la </t>
    </r>
    <r>
      <rPr>
        <b/>
        <sz val="11"/>
        <color theme="1"/>
        <rFont val="Calibri"/>
        <family val="2"/>
        <scheme val="minor"/>
      </rPr>
      <t>syntaxe des références</t>
    </r>
    <r>
      <rPr>
        <sz val="11"/>
        <color theme="1"/>
        <rFont val="Calibri"/>
        <family val="2"/>
        <scheme val="minor"/>
      </rPr>
      <t xml:space="preserve"> (elle devient plus compliquée à maintenir).</t>
    </r>
  </si>
  <si>
    <t>Voici l'avis d'un internaute sur Reddit par rapport aux tableaux :</t>
  </si>
  <si>
    <t>Lien vers la page</t>
  </si>
  <si>
    <r>
      <t xml:space="preserve">Si vous vous trouvez limité à un certain point, il sera intéressant de </t>
    </r>
    <r>
      <rPr>
        <b/>
        <sz val="11"/>
        <color theme="1"/>
        <rFont val="Calibri"/>
        <family val="2"/>
        <scheme val="minor"/>
      </rPr>
      <t xml:space="preserve">retransformer </t>
    </r>
    <r>
      <rPr>
        <sz val="11"/>
        <color theme="1"/>
        <rFont val="Calibri"/>
        <family val="2"/>
        <scheme val="minor"/>
      </rPr>
      <t xml:space="preserve">le tableau en </t>
    </r>
    <r>
      <rPr>
        <b/>
        <sz val="11"/>
        <color theme="1"/>
        <rFont val="Calibri"/>
        <family val="2"/>
        <scheme val="minor"/>
      </rPr>
      <t>une plage de données.</t>
    </r>
  </si>
  <si>
    <t>Filtre et tri</t>
  </si>
  <si>
    <r>
      <t xml:space="preserve">Il est possible de faire des </t>
    </r>
    <r>
      <rPr>
        <b/>
        <sz val="11"/>
        <color theme="1"/>
        <rFont val="Calibri"/>
        <family val="2"/>
        <scheme val="minor"/>
      </rPr>
      <t>filtres</t>
    </r>
    <r>
      <rPr>
        <sz val="11"/>
        <color theme="1"/>
        <rFont val="Calibri"/>
        <family val="2"/>
        <scheme val="minor"/>
      </rPr>
      <t xml:space="preserve"> et de </t>
    </r>
    <r>
      <rPr>
        <b/>
        <sz val="11"/>
        <color theme="1"/>
        <rFont val="Calibri"/>
        <family val="2"/>
        <scheme val="minor"/>
      </rPr>
      <t>trier</t>
    </r>
    <r>
      <rPr>
        <sz val="11"/>
        <color theme="1"/>
        <rFont val="Calibri"/>
        <family val="2"/>
        <scheme val="minor"/>
      </rPr>
      <t xml:space="preserve"> les éléments d'un tableau et d'une plage de données. </t>
    </r>
  </si>
  <si>
    <r>
      <t>Dans l'onglet "Accueil" de Excel, vous devriez retrouver l'option "</t>
    </r>
    <r>
      <rPr>
        <b/>
        <sz val="11"/>
        <color theme="1"/>
        <rFont val="Calibri"/>
        <family val="2"/>
        <scheme val="minor"/>
      </rPr>
      <t>Trier et filtrer</t>
    </r>
    <r>
      <rPr>
        <sz val="11"/>
        <color theme="1"/>
        <rFont val="Calibri"/>
        <family val="2"/>
        <scheme val="minor"/>
      </rPr>
      <t>" dans le groupe "</t>
    </r>
    <r>
      <rPr>
        <b/>
        <sz val="11"/>
        <color theme="1"/>
        <rFont val="Calibri"/>
        <family val="2"/>
        <scheme val="minor"/>
      </rPr>
      <t>Édition</t>
    </r>
    <r>
      <rPr>
        <sz val="11"/>
        <color theme="1"/>
        <rFont val="Calibri"/>
        <family val="2"/>
        <scheme val="minor"/>
      </rPr>
      <t xml:space="preserve">". </t>
    </r>
  </si>
  <si>
    <t>Département</t>
  </si>
  <si>
    <t>Note</t>
  </si>
  <si>
    <t>Étudiant</t>
  </si>
  <si>
    <t>Info</t>
  </si>
  <si>
    <t>Comm</t>
  </si>
  <si>
    <t>Sciences</t>
  </si>
  <si>
    <t>Art</t>
  </si>
  <si>
    <t>Francis</t>
  </si>
  <si>
    <t>Jonathan</t>
  </si>
  <si>
    <t>Sébastien</t>
  </si>
  <si>
    <t>Patrick</t>
  </si>
  <si>
    <t>Jasmine</t>
  </si>
  <si>
    <t>France</t>
  </si>
  <si>
    <t>Sophie</t>
  </si>
  <si>
    <t>Maxime</t>
  </si>
  <si>
    <t>Pierre</t>
  </si>
  <si>
    <t>Nancy</t>
  </si>
  <si>
    <t>Louis</t>
  </si>
  <si>
    <t>Charles</t>
  </si>
  <si>
    <t>Félicie</t>
  </si>
  <si>
    <t>Caroline</t>
  </si>
  <si>
    <t>Jérémie</t>
  </si>
  <si>
    <t>Rachel</t>
  </si>
  <si>
    <t>Pour débuter, vous devriez :</t>
  </si>
  <si>
    <t>1. Sélectionner votre plage au complet, avec l'entête.</t>
  </si>
  <si>
    <t>2. Cliquer sur "Filtrer"</t>
  </si>
  <si>
    <r>
      <t xml:space="preserve">Ceci devrait faire apparaître des </t>
    </r>
    <r>
      <rPr>
        <b/>
        <sz val="11"/>
        <color theme="1"/>
        <rFont val="Calibri"/>
        <family val="2"/>
        <scheme val="minor"/>
      </rPr>
      <t>flèches (menus déroulants)</t>
    </r>
    <r>
      <rPr>
        <sz val="11"/>
        <color theme="1"/>
        <rFont val="Calibri"/>
        <family val="2"/>
        <scheme val="minor"/>
      </rPr>
      <t xml:space="preserve"> qui vont vous permettre de filtrer / trier votre plage de données.</t>
    </r>
  </si>
  <si>
    <r>
      <t xml:space="preserve">Cependant, cette méthode ne vous permet pas de faire de </t>
    </r>
    <r>
      <rPr>
        <b/>
        <sz val="11"/>
        <color theme="1"/>
        <rFont val="Calibri"/>
        <family val="2"/>
        <scheme val="minor"/>
      </rPr>
      <t>tri sur plusieurs colonnes</t>
    </r>
    <r>
      <rPr>
        <sz val="11"/>
        <color theme="1"/>
        <rFont val="Calibri"/>
        <family val="2"/>
        <scheme val="minor"/>
      </rPr>
      <t xml:space="preserve">. </t>
    </r>
  </si>
  <si>
    <r>
      <t>Pour faire ceci, vous devez faire un "</t>
    </r>
    <r>
      <rPr>
        <b/>
        <sz val="11"/>
        <color theme="1"/>
        <rFont val="Calibri"/>
        <family val="2"/>
        <scheme val="minor"/>
      </rPr>
      <t>tri personnalisé</t>
    </r>
    <r>
      <rPr>
        <sz val="11"/>
        <color theme="1"/>
        <rFont val="Calibri"/>
        <family val="2"/>
        <scheme val="minor"/>
      </rPr>
      <t>" et choisir les colonnes, ainsi que l'ordre du tri.</t>
    </r>
  </si>
  <si>
    <t>Numérique</t>
  </si>
  <si>
    <t>Texte</t>
  </si>
  <si>
    <t>Date</t>
  </si>
  <si>
    <t>Égal à</t>
  </si>
  <si>
    <t>Plus grand</t>
  </si>
  <si>
    <t>Plus petit</t>
  </si>
  <si>
    <t>Entre x et y</t>
  </si>
  <si>
    <t>Différent de</t>
  </si>
  <si>
    <t>Commence par</t>
  </si>
  <si>
    <t>Finit par</t>
  </si>
  <si>
    <t>…</t>
  </si>
  <si>
    <t>Avant</t>
  </si>
  <si>
    <t>Après</t>
  </si>
  <si>
    <t xml:space="preserve">Entre </t>
  </si>
  <si>
    <t>Demain</t>
  </si>
  <si>
    <r>
      <t xml:space="preserve">Pour </t>
    </r>
    <r>
      <rPr>
        <b/>
        <sz val="11"/>
        <color theme="1"/>
        <rFont val="Calibri"/>
        <family val="2"/>
        <scheme val="minor"/>
      </rPr>
      <t>filtrer</t>
    </r>
    <r>
      <rPr>
        <sz val="11"/>
        <color theme="1"/>
        <rFont val="Calibri"/>
        <family val="2"/>
        <scheme val="minor"/>
      </rPr>
      <t xml:space="preserve"> les données, vous avez aussi des choix différents en fonctions du </t>
    </r>
    <r>
      <rPr>
        <b/>
        <sz val="11"/>
        <color theme="1"/>
        <rFont val="Calibri"/>
        <family val="2"/>
        <scheme val="minor"/>
      </rPr>
      <t xml:space="preserve">type de donnée </t>
    </r>
    <r>
      <rPr>
        <sz val="11"/>
        <color theme="1"/>
        <rFont val="Calibri"/>
        <family val="2"/>
        <scheme val="minor"/>
      </rPr>
      <t>de la colonne.</t>
    </r>
  </si>
  <si>
    <r>
      <t xml:space="preserve">Excel va </t>
    </r>
    <r>
      <rPr>
        <b/>
        <sz val="11"/>
        <color theme="1"/>
        <rFont val="Calibri"/>
        <family val="2"/>
        <scheme val="minor"/>
      </rPr>
      <t xml:space="preserve">cacher </t>
    </r>
    <r>
      <rPr>
        <sz val="11"/>
        <color theme="1"/>
        <rFont val="Calibri"/>
        <family val="2"/>
        <scheme val="minor"/>
      </rPr>
      <t xml:space="preserve">les lignes de votre tableur. </t>
    </r>
  </si>
  <si>
    <t>Donc retirer le filtre ramène vos lignes comme elles étaient.</t>
  </si>
  <si>
    <t>Valider la saisie de l'utilisateur</t>
  </si>
  <si>
    <t>Une date</t>
  </si>
  <si>
    <t>Un nombre</t>
  </si>
  <si>
    <t>Ajouter un texte d'aide à la saie</t>
  </si>
  <si>
    <t>Ajouter un message d'erreur</t>
  </si>
  <si>
    <r>
      <t xml:space="preserve">Ajouter une règle de validation </t>
    </r>
    <r>
      <rPr>
        <sz val="11"/>
        <color theme="1"/>
        <rFont val="Calibri"/>
        <family val="2"/>
        <scheme val="minor"/>
      </rPr>
      <t xml:space="preserve">: se retrouve dans l'onglet " </t>
    </r>
    <r>
      <rPr>
        <b/>
        <sz val="11"/>
        <color theme="1"/>
        <rFont val="Calibri"/>
        <family val="2"/>
        <scheme val="minor"/>
      </rPr>
      <t>Données</t>
    </r>
    <r>
      <rPr>
        <sz val="11"/>
        <color theme="1"/>
        <rFont val="Calibri"/>
        <family val="2"/>
        <scheme val="minor"/>
      </rPr>
      <t xml:space="preserve"> ". </t>
    </r>
  </si>
  <si>
    <r>
      <t xml:space="preserve">Dans le groupe " </t>
    </r>
    <r>
      <rPr>
        <b/>
        <sz val="11"/>
        <color theme="1"/>
        <rFont val="Calibri"/>
        <family val="2"/>
        <scheme val="minor"/>
      </rPr>
      <t>Outils de données</t>
    </r>
    <r>
      <rPr>
        <sz val="11"/>
        <color theme="1"/>
        <rFont val="Calibri"/>
        <family val="2"/>
        <scheme val="minor"/>
      </rPr>
      <t xml:space="preserve"> "</t>
    </r>
  </si>
  <si>
    <t>Il y a les options de validation de données.</t>
  </si>
  <si>
    <r>
      <t xml:space="preserve">Valider une donnée </t>
    </r>
    <r>
      <rPr>
        <sz val="11"/>
        <color theme="1"/>
        <rFont val="Calibri"/>
        <family val="2"/>
        <scheme val="minor"/>
      </rPr>
      <t>: la validation changera en fonction du type</t>
    </r>
  </si>
  <si>
    <t>de donnée à valide.</t>
  </si>
  <si>
    <t>Il faut déclarer dans la fenêtre ci-dessous le contenu autorisé.</t>
  </si>
  <si>
    <t>fenêtre, vous pouvez mettre en forme</t>
  </si>
  <si>
    <t>un message d'aide.</t>
  </si>
  <si>
    <r>
      <t>Dans l'onglet "</t>
    </r>
    <r>
      <rPr>
        <b/>
        <sz val="11"/>
        <color theme="1"/>
        <rFont val="Calibri"/>
        <family val="2"/>
        <scheme val="minor"/>
      </rPr>
      <t>Message de saisie</t>
    </r>
    <r>
      <rPr>
        <sz val="11"/>
        <color theme="1"/>
        <rFont val="Calibri"/>
        <family val="2"/>
        <scheme val="minor"/>
      </rPr>
      <t>" de la</t>
    </r>
  </si>
  <si>
    <r>
      <t xml:space="preserve">Dans l'onglet " </t>
    </r>
    <r>
      <rPr>
        <b/>
        <sz val="11"/>
        <color theme="1"/>
        <rFont val="Calibri"/>
        <family val="2"/>
        <scheme val="minor"/>
      </rPr>
      <t>Alerte d'erreur</t>
    </r>
    <r>
      <rPr>
        <sz val="11"/>
        <color theme="1"/>
        <rFont val="Calibri"/>
        <family val="2"/>
        <scheme val="minor"/>
      </rPr>
      <t xml:space="preserve"> " de la</t>
    </r>
  </si>
  <si>
    <t>le message d'erreur.</t>
  </si>
  <si>
    <t xml:space="preserve">Retirer des règles de validation </t>
  </si>
  <si>
    <r>
      <t xml:space="preserve">Valider à partir d'une liste d'éléments </t>
    </r>
    <r>
      <rPr>
        <sz val="11"/>
        <color theme="1"/>
        <rFont val="Calibri"/>
        <family val="2"/>
        <scheme val="minor"/>
      </rPr>
      <t>: choisir d'autoriser une "</t>
    </r>
    <r>
      <rPr>
        <b/>
        <sz val="11"/>
        <color theme="1"/>
        <rFont val="Calibri"/>
        <family val="2"/>
        <scheme val="minor"/>
      </rPr>
      <t>Liste</t>
    </r>
    <r>
      <rPr>
        <sz val="11"/>
        <color theme="1"/>
        <rFont val="Calibri"/>
        <family val="2"/>
        <scheme val="minor"/>
      </rPr>
      <t>". Vous pourrez ensuite choisir la plage de données</t>
    </r>
  </si>
  <si>
    <t>qui contient les différents choix que vous voulez afficher.</t>
  </si>
  <si>
    <t>Fonction de recherche</t>
  </si>
  <si>
    <r>
      <t xml:space="preserve">La fonction " </t>
    </r>
    <r>
      <rPr>
        <b/>
        <sz val="11"/>
        <color theme="1"/>
        <rFont val="Calibri"/>
        <family val="2"/>
        <scheme val="minor"/>
      </rPr>
      <t xml:space="preserve">RechercheV </t>
    </r>
    <r>
      <rPr>
        <sz val="11"/>
        <color theme="1"/>
        <rFont val="Calibri"/>
        <family val="2"/>
        <scheme val="minor"/>
      </rPr>
      <t xml:space="preserve">" nous permet de faire une recherche verticale à travers une étendue de donnée précise. </t>
    </r>
  </si>
  <si>
    <t>Voici les paramètres de la fonction :</t>
  </si>
  <si>
    <t>=RECHERCHEV(valeur_cherchée ; table_matrice ; no_index_col ; [valeur_proche] )</t>
  </si>
  <si>
    <t>QUOI?</t>
  </si>
  <si>
    <t>OÙ?</t>
  </si>
  <si>
    <t>RETOURNE_QUOI?</t>
  </si>
  <si>
    <r>
      <t xml:space="preserve">1. </t>
    </r>
    <r>
      <rPr>
        <b/>
        <sz val="11"/>
        <color theme="1"/>
        <rFont val="Calibri"/>
        <family val="2"/>
        <scheme val="minor"/>
      </rPr>
      <t>valeur_cherchée</t>
    </r>
    <r>
      <rPr>
        <sz val="11"/>
        <color theme="1"/>
        <rFont val="Calibri"/>
        <family val="2"/>
        <scheme val="minor"/>
      </rPr>
      <t xml:space="preserve"> : correspond à la cellule à rechercher. </t>
    </r>
  </si>
  <si>
    <r>
      <t xml:space="preserve">2. </t>
    </r>
    <r>
      <rPr>
        <b/>
        <sz val="11"/>
        <color theme="1"/>
        <rFont val="Calibri"/>
        <family val="2"/>
        <scheme val="minor"/>
      </rPr>
      <t>table_matrice</t>
    </r>
    <r>
      <rPr>
        <sz val="11"/>
        <color theme="1"/>
        <rFont val="Calibri"/>
        <family val="2"/>
        <scheme val="minor"/>
      </rPr>
      <t xml:space="preserve"> : correspond à la plage entière (avec entête) où la donnée va se retrouver.</t>
    </r>
  </si>
  <si>
    <r>
      <t xml:space="preserve">3. </t>
    </r>
    <r>
      <rPr>
        <b/>
        <sz val="11"/>
        <color theme="1"/>
        <rFont val="Calibri"/>
        <family val="2"/>
        <scheme val="minor"/>
      </rPr>
      <t xml:space="preserve">no_index_col </t>
    </r>
    <r>
      <rPr>
        <sz val="11"/>
        <color theme="1"/>
        <rFont val="Calibri"/>
        <family val="2"/>
        <scheme val="minor"/>
      </rPr>
      <t>: correspond au numéro de colonne à retourner en réponse.</t>
    </r>
  </si>
  <si>
    <r>
      <t xml:space="preserve">4. </t>
    </r>
    <r>
      <rPr>
        <b/>
        <sz val="11"/>
        <color theme="1"/>
        <rFont val="Calibri"/>
        <family val="2"/>
        <scheme val="minor"/>
      </rPr>
      <t>valeur_proche</t>
    </r>
    <r>
      <rPr>
        <sz val="11"/>
        <color theme="1"/>
        <rFont val="Calibri"/>
        <family val="2"/>
        <scheme val="minor"/>
      </rPr>
      <t xml:space="preserve"> : donnée booléenne qui dicte si la fonction cherche une valeur proche en cas d'erreur.</t>
    </r>
  </si>
  <si>
    <t>Numéro</t>
  </si>
  <si>
    <t xml:space="preserve">Exemple : </t>
  </si>
  <si>
    <t xml:space="preserve">Vous avez l'information dans une plage de données qui contient les informations de tous les étudiants de l'école. </t>
  </si>
  <si>
    <t>Vous voulez entrer dans une autre plage de données, le numéro d'un étudiant, et que Excel recherche le nom de l'étudiant en question.</t>
  </si>
  <si>
    <t>NOM (RECHERCHE)</t>
  </si>
  <si>
    <t>Tous les étudiants</t>
  </si>
  <si>
    <t>Nom</t>
  </si>
  <si>
    <t>Naissance</t>
  </si>
  <si>
    <t>Sexe</t>
  </si>
  <si>
    <t>Joséphine</t>
  </si>
  <si>
    <t>Alicia</t>
  </si>
  <si>
    <t>Laurie</t>
  </si>
  <si>
    <t>Jasmin</t>
  </si>
  <si>
    <t>Xavier</t>
  </si>
  <si>
    <t>Esteban</t>
  </si>
  <si>
    <t>Carlos</t>
  </si>
  <si>
    <t>M</t>
  </si>
  <si>
    <t>F</t>
  </si>
  <si>
    <t>Dans l'exemple ci-dessus, je cherche :</t>
  </si>
  <si>
    <t xml:space="preserve">QUOI : </t>
  </si>
  <si>
    <t>La cellule B50, le numéro d'étudiant</t>
  </si>
  <si>
    <t>OÙ :</t>
  </si>
  <si>
    <t>Dans la plage de B50 à K58, la plage des étudiants</t>
  </si>
  <si>
    <t>RETOURNE :</t>
  </si>
  <si>
    <t>La colonne 2, possède le nom de l'étudiant</t>
  </si>
  <si>
    <t>valeur_proche :</t>
  </si>
  <si>
    <t>Introduction</t>
  </si>
  <si>
    <r>
      <t>Dans l'onglet "</t>
    </r>
    <r>
      <rPr>
        <b/>
        <sz val="11"/>
        <color theme="1"/>
        <rFont val="Calibri"/>
        <family val="2"/>
        <scheme val="minor"/>
      </rPr>
      <t>Accueil</t>
    </r>
    <r>
      <rPr>
        <sz val="11"/>
        <color theme="1"/>
        <rFont val="Calibri"/>
        <family val="2"/>
        <scheme val="minor"/>
      </rPr>
      <t xml:space="preserve">" dans le groupe </t>
    </r>
    <r>
      <rPr>
        <b/>
        <sz val="11"/>
        <color theme="1"/>
        <rFont val="Calibri"/>
        <family val="2"/>
        <scheme val="minor"/>
      </rPr>
      <t>Style</t>
    </r>
    <r>
      <rPr>
        <sz val="11"/>
        <color theme="1"/>
        <rFont val="Calibri"/>
        <family val="2"/>
        <scheme val="minor"/>
      </rPr>
      <t>, vous retrouverez des options de</t>
    </r>
    <r>
      <rPr>
        <b/>
        <sz val="11"/>
        <color theme="1"/>
        <rFont val="Calibri"/>
        <family val="2"/>
        <scheme val="minor"/>
      </rPr>
      <t xml:space="preserve"> mise en forme conditionnelle</t>
    </r>
  </si>
  <si>
    <t>C’est-à-dire que la mise en forme de la cellule dépend</t>
  </si>
  <si>
    <t>de son contenu!</t>
  </si>
  <si>
    <t xml:space="preserve">Surbrillance des cellules </t>
  </si>
  <si>
    <t>Permet de changer la mise en forme de la cellule et de</t>
  </si>
  <si>
    <t>son texte en fonctin du contenu (numérique, texte, date, etc.)</t>
  </si>
  <si>
    <t>Valeurs de plage haute/basse</t>
  </si>
  <si>
    <t>Permet de changer la mise en forme de plusieurs cellules d'une</t>
  </si>
  <si>
    <t>plage en fonction des données de toutes les cellules choisies.</t>
  </si>
  <si>
    <t>Barre de données</t>
  </si>
  <si>
    <t>Permet de changer la mise en forme de plusieurs cellules</t>
  </si>
  <si>
    <t>pour démontrer avec des barres pour afficher la différence</t>
  </si>
  <si>
    <t>entre la valeur de la cellule et une valeur de référence.</t>
  </si>
  <si>
    <t>Nuance de couleurs</t>
  </si>
  <si>
    <r>
      <t xml:space="preserve">Excel fait un </t>
    </r>
    <r>
      <rPr>
        <b/>
        <sz val="11"/>
        <color theme="1"/>
        <rFont val="Calibri"/>
        <family val="2"/>
        <scheme val="minor"/>
      </rPr>
      <t>interpolation</t>
    </r>
    <r>
      <rPr>
        <sz val="11"/>
        <color theme="1"/>
        <rFont val="Calibri"/>
        <family val="2"/>
        <scheme val="minor"/>
      </rPr>
      <t xml:space="preserve"> des couleurs en fonction de la plus</t>
    </r>
  </si>
  <si>
    <t xml:space="preserve">petite valeur à la plus haute. </t>
  </si>
  <si>
    <t>Jeux d'icônes</t>
  </si>
  <si>
    <t>Excel ajoute une icône à la cellule en fonction des valeurs.</t>
  </si>
  <si>
    <t>Les valeurs bassent peuvent avoir un symbole de danger par exemple.</t>
  </si>
  <si>
    <r>
      <t xml:space="preserve">Sachez que toutes ces règles peuvent être combinées et </t>
    </r>
    <r>
      <rPr>
        <b/>
        <sz val="11"/>
        <color theme="1"/>
        <rFont val="Calibri"/>
        <family val="2"/>
        <scheme val="minor"/>
      </rPr>
      <t xml:space="preserve">retravaillées </t>
    </r>
    <r>
      <rPr>
        <sz val="11"/>
        <color theme="1"/>
        <rFont val="Calibri"/>
        <family val="2"/>
        <scheme val="minor"/>
      </rPr>
      <t>dans l'option</t>
    </r>
    <r>
      <rPr>
        <b/>
        <sz val="11"/>
        <color theme="1"/>
        <rFont val="Calibri"/>
        <family val="2"/>
        <scheme val="minor"/>
      </rPr>
      <t xml:space="preserve"> "Gérer des règles"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</si>
</sst>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quotePrefix="1" applyFont="1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0" fillId="2" borderId="3" xfId="0" applyFill="1" applyBorder="1"/>
    <xf numFmtId="0" fontId="2" fillId="0" borderId="4" xfId="0" applyFont="1" applyBorder="1"/>
    <xf numFmtId="0" fontId="0" fillId="2" borderId="5" xfId="0" applyFill="1" applyBorder="1"/>
    <xf numFmtId="0" fontId="2" fillId="0" borderId="6" xfId="0" applyFont="1" applyBorder="1"/>
    <xf numFmtId="0" fontId="0" fillId="0" borderId="7" xfId="0" applyBorder="1"/>
    <xf numFmtId="0" fontId="0" fillId="3" borderId="8" xfId="0" applyFill="1" applyBorder="1"/>
    <xf numFmtId="0" fontId="0" fillId="0" borderId="6" xfId="0" applyBorder="1"/>
    <xf numFmtId="0" fontId="0" fillId="0" borderId="8" xfId="0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4" xfId="0" applyBorder="1"/>
    <xf numFmtId="1" fontId="0" fillId="0" borderId="0" xfId="0" applyNumberFormat="1"/>
    <xf numFmtId="0" fontId="0" fillId="0" borderId="5" xfId="0" applyBorder="1"/>
    <xf numFmtId="1" fontId="0" fillId="0" borderId="7" xfId="0" applyNumberFormat="1" applyBorder="1"/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6" borderId="1" xfId="0" applyFill="1" applyBorder="1"/>
    <xf numFmtId="0" fontId="0" fillId="6" borderId="4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1"/>
    <xf numFmtId="0" fontId="0" fillId="0" borderId="0" xfId="0" applyFont="1"/>
    <xf numFmtId="0" fontId="1" fillId="4" borderId="0" xfId="0" applyFont="1" applyFill="1" applyAlignment="1">
      <alignment horizontal="center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0" fillId="8" borderId="0" xfId="0" applyFill="1"/>
    <xf numFmtId="0" fontId="2" fillId="0" borderId="0" xfId="0" applyFont="1" applyFill="1"/>
    <xf numFmtId="0" fontId="0" fillId="0" borderId="0" xfId="0" applyFill="1"/>
    <xf numFmtId="0" fontId="2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B7B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21</xdr:row>
      <xdr:rowOff>137160</xdr:rowOff>
    </xdr:from>
    <xdr:to>
      <xdr:col>11</xdr:col>
      <xdr:colOff>335410</xdr:colOff>
      <xdr:row>23</xdr:row>
      <xdr:rowOff>60985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A508F6B-FAFD-28B5-4D26-17BDFA671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1420" y="4023360"/>
          <a:ext cx="1501270" cy="2895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586740</xdr:colOff>
      <xdr:row>14</xdr:row>
      <xdr:rowOff>167640</xdr:rowOff>
    </xdr:from>
    <xdr:to>
      <xdr:col>14</xdr:col>
      <xdr:colOff>518772</xdr:colOff>
      <xdr:row>19</xdr:row>
      <xdr:rowOff>76271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8D628F-7D69-3B5A-8BDD-9B0768B8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9140" y="2773680"/>
          <a:ext cx="7064352" cy="8230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236220</xdr:colOff>
      <xdr:row>37</xdr:row>
      <xdr:rowOff>121920</xdr:rowOff>
    </xdr:from>
    <xdr:to>
      <xdr:col>8</xdr:col>
      <xdr:colOff>655562</xdr:colOff>
      <xdr:row>40</xdr:row>
      <xdr:rowOff>37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77EDC2C-22E9-1A44-F56F-561BC78E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8620" y="6979920"/>
          <a:ext cx="2796782" cy="4267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403860</xdr:colOff>
      <xdr:row>51</xdr:row>
      <xdr:rowOff>152981</xdr:rowOff>
    </xdr:from>
    <xdr:to>
      <xdr:col>10</xdr:col>
      <xdr:colOff>106680</xdr:colOff>
      <xdr:row>65</xdr:row>
      <xdr:rowOff>151057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9153A4D-91BA-445F-97B5-EB381CB5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8180" y="9571301"/>
          <a:ext cx="3665220" cy="255839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137160</xdr:colOff>
      <xdr:row>0</xdr:row>
      <xdr:rowOff>91440</xdr:rowOff>
    </xdr:from>
    <xdr:to>
      <xdr:col>9</xdr:col>
      <xdr:colOff>588834</xdr:colOff>
      <xdr:row>9</xdr:row>
      <xdr:rowOff>144780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537ACB9-D7AB-5F6E-CB99-BA42D1AC2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4520" y="91440"/>
          <a:ext cx="2036634" cy="17449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137160</xdr:colOff>
      <xdr:row>12</xdr:row>
      <xdr:rowOff>53340</xdr:rowOff>
    </xdr:from>
    <xdr:to>
      <xdr:col>10</xdr:col>
      <xdr:colOff>260115</xdr:colOff>
      <xdr:row>24</xdr:row>
      <xdr:rowOff>181532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921C155-51AB-512F-97A0-29EA1760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040" y="2293620"/>
          <a:ext cx="3292875" cy="23227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655320</xdr:colOff>
      <xdr:row>14</xdr:row>
      <xdr:rowOff>167640</xdr:rowOff>
    </xdr:from>
    <xdr:to>
      <xdr:col>7</xdr:col>
      <xdr:colOff>121920</xdr:colOff>
      <xdr:row>17</xdr:row>
      <xdr:rowOff>106680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AF400051-6633-71CF-0522-6435221AFF10}"/>
            </a:ext>
          </a:extLst>
        </xdr:cNvPr>
        <xdr:cNvCxnSpPr/>
      </xdr:nvCxnSpPr>
      <xdr:spPr>
        <a:xfrm flipV="1">
          <a:off x="4617720" y="2773680"/>
          <a:ext cx="1051560" cy="48768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541020</xdr:colOff>
      <xdr:row>14</xdr:row>
      <xdr:rowOff>114300</xdr:rowOff>
    </xdr:from>
    <xdr:to>
      <xdr:col>8</xdr:col>
      <xdr:colOff>114300</xdr:colOff>
      <xdr:row>22</xdr:row>
      <xdr:rowOff>30480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A060E487-BE62-4EE9-8C69-B6F9B025E3DB}"/>
            </a:ext>
          </a:extLst>
        </xdr:cNvPr>
        <xdr:cNvCxnSpPr/>
      </xdr:nvCxnSpPr>
      <xdr:spPr>
        <a:xfrm flipV="1">
          <a:off x="4503420" y="2720340"/>
          <a:ext cx="1950720" cy="13792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320040</xdr:colOff>
      <xdr:row>24</xdr:row>
      <xdr:rowOff>91440</xdr:rowOff>
    </xdr:from>
    <xdr:to>
      <xdr:col>6</xdr:col>
      <xdr:colOff>228600</xdr:colOff>
      <xdr:row>27</xdr:row>
      <xdr:rowOff>114300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8D335664-9463-4444-878C-59BCD3A458F8}"/>
            </a:ext>
          </a:extLst>
        </xdr:cNvPr>
        <xdr:cNvCxnSpPr/>
      </xdr:nvCxnSpPr>
      <xdr:spPr>
        <a:xfrm flipV="1">
          <a:off x="3489960" y="4526280"/>
          <a:ext cx="1493520" cy="571500"/>
        </a:xfrm>
        <a:prstGeom prst="straightConnector1">
          <a:avLst/>
        </a:prstGeom>
        <a:ln w="381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769620</xdr:colOff>
      <xdr:row>34</xdr:row>
      <xdr:rowOff>129540</xdr:rowOff>
    </xdr:from>
    <xdr:to>
      <xdr:col>17</xdr:col>
      <xdr:colOff>547478</xdr:colOff>
      <xdr:row>38</xdr:row>
      <xdr:rowOff>85827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CFE0403D-14F8-FB55-7A58-FEFEC93A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4420" y="6393180"/>
          <a:ext cx="5325218" cy="733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586740</xdr:colOff>
      <xdr:row>4</xdr:row>
      <xdr:rowOff>137160</xdr:rowOff>
    </xdr:from>
    <xdr:to>
      <xdr:col>9</xdr:col>
      <xdr:colOff>8357</xdr:colOff>
      <xdr:row>19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45DC93D-B7C6-A8A0-4730-FCB9FE4A6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9140" y="914400"/>
          <a:ext cx="2591537" cy="26822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B8D54-B7EE-4BF0-A88D-C5428A44AA48}" name="Tableau1" displayName="Tableau1" ref="B11:D17" totalsRowShown="0" headerRowDxfId="0">
  <autoFilter ref="B11:D17" xr:uid="{2E3B8D54-B7EE-4BF0-A88D-C5428A44AA48}"/>
  <tableColumns count="3">
    <tableColumn id="1" xr3:uid="{779000B1-3D14-4EC6-B9D2-2FC2D83947C2}" name="Colonne1" dataDxfId="3"/>
    <tableColumn id="2" xr3:uid="{A771CF52-9F29-41BB-80AC-CA795FFA0010}" name="Colonne2" dataDxfId="2"/>
    <tableColumn id="3" xr3:uid="{D663DCEC-3FA8-47E3-87F8-09122B8B88E3}" name="Colonne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www.reddit.com/r/excel/comments/t132zs/pros_and_cons_of_tables/?tl=f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7" sqref="N7"/>
    </sheetView>
  </sheetViews>
  <sheetFormatPr baseColWidth="10" defaultColWidth="8.88671875" defaultRowHeight="14.4" x14ac:dyDescent="0.3"/>
  <cols>
    <col min="2" max="2" width="14" customWidth="1"/>
    <col min="4" max="4" width="10" customWidth="1"/>
    <col min="6" max="6" width="14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9428-7A65-4294-80F6-9489F41C8385}">
  <dimension ref="B2:I55"/>
  <sheetViews>
    <sheetView topLeftCell="A21" workbookViewId="0">
      <selection activeCell="K29" sqref="K29"/>
    </sheetView>
  </sheetViews>
  <sheetFormatPr baseColWidth="10" defaultRowHeight="14.4" x14ac:dyDescent="0.3"/>
  <cols>
    <col min="6" max="6" width="12.44140625" bestFit="1" customWidth="1"/>
  </cols>
  <sheetData>
    <row r="2" spans="2:9" ht="18" x14ac:dyDescent="0.35">
      <c r="B2" s="1" t="s">
        <v>0</v>
      </c>
    </row>
    <row r="3" spans="2:9" x14ac:dyDescent="0.3">
      <c r="B3" s="2" t="s">
        <v>1</v>
      </c>
    </row>
    <row r="4" spans="2:9" x14ac:dyDescent="0.3">
      <c r="B4" t="s">
        <v>2</v>
      </c>
    </row>
    <row r="5" spans="2:9" x14ac:dyDescent="0.3">
      <c r="C5" t="s">
        <v>3</v>
      </c>
      <c r="D5" t="s">
        <v>4</v>
      </c>
    </row>
    <row r="6" spans="2:9" x14ac:dyDescent="0.3">
      <c r="C6" t="s">
        <v>5</v>
      </c>
      <c r="D6" t="s">
        <v>6</v>
      </c>
    </row>
    <row r="7" spans="2:9" x14ac:dyDescent="0.3">
      <c r="F7" s="3" t="s">
        <v>10</v>
      </c>
    </row>
    <row r="8" spans="2:9" x14ac:dyDescent="0.3">
      <c r="B8" s="4" t="s">
        <v>9</v>
      </c>
      <c r="C8" s="5"/>
      <c r="D8" s="6">
        <v>71.249184</v>
      </c>
      <c r="F8" t="s">
        <v>11</v>
      </c>
    </row>
    <row r="9" spans="2:9" x14ac:dyDescent="0.3">
      <c r="B9" s="7" t="s">
        <v>7</v>
      </c>
      <c r="D9" s="8">
        <v>0</v>
      </c>
      <c r="F9" t="s">
        <v>12</v>
      </c>
    </row>
    <row r="10" spans="2:9" x14ac:dyDescent="0.3">
      <c r="B10" s="9" t="s">
        <v>8</v>
      </c>
      <c r="C10" s="10"/>
      <c r="D10" s="11">
        <f>ROUND(D8,D9)</f>
        <v>71</v>
      </c>
      <c r="F10" t="s">
        <v>13</v>
      </c>
    </row>
    <row r="11" spans="2:9" x14ac:dyDescent="0.3">
      <c r="F11" t="s">
        <v>14</v>
      </c>
    </row>
    <row r="14" spans="2:9" ht="18" x14ac:dyDescent="0.35">
      <c r="B14" s="1" t="s">
        <v>15</v>
      </c>
    </row>
    <row r="15" spans="2:9" x14ac:dyDescent="0.3">
      <c r="B15" s="2" t="s">
        <v>16</v>
      </c>
      <c r="H15" s="4" t="s">
        <v>9</v>
      </c>
      <c r="I15" s="6">
        <v>15.99</v>
      </c>
    </row>
    <row r="16" spans="2:9" x14ac:dyDescent="0.3">
      <c r="B16" t="s">
        <v>17</v>
      </c>
      <c r="H16" s="9" t="s">
        <v>18</v>
      </c>
      <c r="I16" s="11">
        <f>INT(I15)</f>
        <v>15</v>
      </c>
    </row>
    <row r="17" spans="2:8" x14ac:dyDescent="0.3">
      <c r="B17" t="s">
        <v>19</v>
      </c>
    </row>
    <row r="20" spans="2:8" ht="18" x14ac:dyDescent="0.35">
      <c r="B20" s="1" t="s">
        <v>35</v>
      </c>
    </row>
    <row r="22" spans="2:8" x14ac:dyDescent="0.3">
      <c r="B22" s="3" t="s">
        <v>20</v>
      </c>
      <c r="D22" t="s">
        <v>23</v>
      </c>
      <c r="H22" s="2" t="s">
        <v>26</v>
      </c>
    </row>
    <row r="24" spans="2:8" x14ac:dyDescent="0.3">
      <c r="B24" s="3" t="s">
        <v>21</v>
      </c>
      <c r="D24" t="s">
        <v>24</v>
      </c>
      <c r="H24" s="2" t="s">
        <v>27</v>
      </c>
    </row>
    <row r="26" spans="2:8" x14ac:dyDescent="0.3">
      <c r="B26" s="3" t="s">
        <v>22</v>
      </c>
      <c r="D26" t="s">
        <v>25</v>
      </c>
      <c r="H26" s="2" t="s">
        <v>28</v>
      </c>
    </row>
    <row r="29" spans="2:8" x14ac:dyDescent="0.3">
      <c r="C29" s="14" t="s">
        <v>29</v>
      </c>
      <c r="D29" s="15" t="s">
        <v>30</v>
      </c>
      <c r="E29" s="15" t="s">
        <v>31</v>
      </c>
      <c r="F29" s="16" t="s">
        <v>32</v>
      </c>
      <c r="G29" s="16" t="s">
        <v>33</v>
      </c>
      <c r="H29" s="17" t="s">
        <v>34</v>
      </c>
    </row>
    <row r="30" spans="2:8" x14ac:dyDescent="0.3">
      <c r="C30" s="18">
        <v>33</v>
      </c>
      <c r="D30">
        <v>78</v>
      </c>
      <c r="E30">
        <v>59</v>
      </c>
      <c r="F30" s="19">
        <f>AVERAGE(C30:E30)</f>
        <v>56.666666666666664</v>
      </c>
      <c r="G30">
        <f>MAX(C30:E30)</f>
        <v>78</v>
      </c>
      <c r="H30" s="20">
        <f>MIN(C30:E30)</f>
        <v>33</v>
      </c>
    </row>
    <row r="31" spans="2:8" x14ac:dyDescent="0.3">
      <c r="C31" s="18">
        <v>45</v>
      </c>
      <c r="D31">
        <v>92</v>
      </c>
      <c r="E31">
        <v>57</v>
      </c>
      <c r="F31" s="19">
        <f t="shared" ref="F31:F32" si="0">AVERAGE(C31:E31)</f>
        <v>64.666666666666671</v>
      </c>
      <c r="G31">
        <f t="shared" ref="G31:G32" si="1">MAX(C31:E31)</f>
        <v>92</v>
      </c>
      <c r="H31" s="20">
        <f t="shared" ref="H31:H32" si="2">MIN(C31:E31)</f>
        <v>45</v>
      </c>
    </row>
    <row r="32" spans="2:8" x14ac:dyDescent="0.3">
      <c r="C32" s="12">
        <v>86</v>
      </c>
      <c r="D32" s="10">
        <v>73</v>
      </c>
      <c r="E32" s="10">
        <v>37</v>
      </c>
      <c r="F32" s="21">
        <f t="shared" si="0"/>
        <v>65.333333333333329</v>
      </c>
      <c r="G32" s="10">
        <f t="shared" si="1"/>
        <v>86</v>
      </c>
      <c r="H32" s="13">
        <f t="shared" si="2"/>
        <v>37</v>
      </c>
    </row>
    <row r="35" spans="2:9" ht="18" x14ac:dyDescent="0.35">
      <c r="B35" s="1" t="s">
        <v>36</v>
      </c>
    </row>
    <row r="37" spans="2:9" x14ac:dyDescent="0.3">
      <c r="B37" s="3" t="s">
        <v>37</v>
      </c>
      <c r="D37" t="s">
        <v>38</v>
      </c>
      <c r="H37" s="2" t="s">
        <v>62</v>
      </c>
    </row>
    <row r="38" spans="2:9" x14ac:dyDescent="0.3">
      <c r="B38" s="3"/>
      <c r="D38" t="s">
        <v>39</v>
      </c>
      <c r="H38" s="2"/>
    </row>
    <row r="40" spans="2:9" x14ac:dyDescent="0.3">
      <c r="B40" s="3" t="s">
        <v>48</v>
      </c>
      <c r="D40" t="s">
        <v>41</v>
      </c>
      <c r="H40" s="2" t="s">
        <v>63</v>
      </c>
    </row>
    <row r="41" spans="2:9" x14ac:dyDescent="0.3">
      <c r="D41" t="s">
        <v>40</v>
      </c>
    </row>
    <row r="43" spans="2:9" x14ac:dyDescent="0.3">
      <c r="B43" s="3" t="s">
        <v>49</v>
      </c>
      <c r="D43" t="s">
        <v>42</v>
      </c>
      <c r="H43" s="2" t="s">
        <v>64</v>
      </c>
    </row>
    <row r="46" spans="2:9" x14ac:dyDescent="0.3">
      <c r="B46" s="25"/>
      <c r="C46" s="27" t="s">
        <v>44</v>
      </c>
      <c r="D46" s="27">
        <v>84</v>
      </c>
      <c r="E46" s="27">
        <v>71</v>
      </c>
      <c r="F46" s="36" t="s">
        <v>58</v>
      </c>
      <c r="G46" s="27"/>
      <c r="H46" s="27" t="s">
        <v>43</v>
      </c>
      <c r="I46" s="28">
        <v>76</v>
      </c>
    </row>
    <row r="47" spans="2:9" x14ac:dyDescent="0.3">
      <c r="B47" s="26"/>
      <c r="C47" s="29">
        <v>73</v>
      </c>
      <c r="D47" s="29">
        <v>48</v>
      </c>
      <c r="E47" s="29"/>
      <c r="F47" s="37" t="s">
        <v>59</v>
      </c>
      <c r="G47" s="29"/>
      <c r="H47" s="29" t="s">
        <v>52</v>
      </c>
      <c r="I47" s="30">
        <v>2</v>
      </c>
    </row>
    <row r="48" spans="2:9" x14ac:dyDescent="0.3">
      <c r="B48" s="26"/>
      <c r="C48" s="29"/>
      <c r="D48" s="29" t="s">
        <v>46</v>
      </c>
      <c r="E48" s="29"/>
      <c r="F48" s="37" t="s">
        <v>60</v>
      </c>
      <c r="G48" s="29"/>
      <c r="H48" s="29" t="s">
        <v>53</v>
      </c>
      <c r="I48" s="30">
        <v>75</v>
      </c>
    </row>
    <row r="49" spans="2:9" x14ac:dyDescent="0.3">
      <c r="B49" s="26"/>
      <c r="C49" s="29"/>
      <c r="D49" s="29"/>
      <c r="E49" s="29"/>
      <c r="F49" s="29">
        <v>49</v>
      </c>
      <c r="G49" s="29"/>
      <c r="H49" s="29" t="s">
        <v>54</v>
      </c>
      <c r="I49" s="30">
        <v>2</v>
      </c>
    </row>
    <row r="50" spans="2:9" x14ac:dyDescent="0.3">
      <c r="B50" s="26"/>
      <c r="C50" s="29">
        <v>55</v>
      </c>
      <c r="D50" s="29" t="s">
        <v>45</v>
      </c>
      <c r="E50" s="29"/>
      <c r="F50" s="37" t="s">
        <v>61</v>
      </c>
      <c r="G50" s="29"/>
      <c r="H50" s="29" t="s">
        <v>55</v>
      </c>
      <c r="I50" s="30">
        <v>55</v>
      </c>
    </row>
    <row r="51" spans="2:9" x14ac:dyDescent="0.3">
      <c r="B51" s="26"/>
      <c r="C51" s="29"/>
      <c r="D51" s="29">
        <v>25</v>
      </c>
      <c r="E51" s="29"/>
      <c r="F51" s="29">
        <v>19</v>
      </c>
      <c r="G51" s="29"/>
      <c r="H51" s="29" t="s">
        <v>56</v>
      </c>
      <c r="I51" s="30">
        <v>24</v>
      </c>
    </row>
    <row r="52" spans="2:9" x14ac:dyDescent="0.3">
      <c r="B52" s="26"/>
      <c r="C52" s="29">
        <v>56</v>
      </c>
      <c r="D52" s="29">
        <v>60</v>
      </c>
      <c r="E52" s="29">
        <v>22</v>
      </c>
      <c r="F52" s="29">
        <v>22</v>
      </c>
      <c r="G52" s="29"/>
      <c r="H52" s="29" t="s">
        <v>57</v>
      </c>
      <c r="I52" s="38">
        <v>47</v>
      </c>
    </row>
    <row r="53" spans="2:9" x14ac:dyDescent="0.3">
      <c r="B53" s="24" t="s">
        <v>47</v>
      </c>
      <c r="C53" s="31">
        <f>COUNT(C46:C52)</f>
        <v>3</v>
      </c>
      <c r="D53" s="31">
        <f t="shared" ref="D53:I53" si="3">COUNT(D46:D52)</f>
        <v>4</v>
      </c>
      <c r="E53" s="31">
        <f t="shared" si="3"/>
        <v>2</v>
      </c>
      <c r="F53" s="31">
        <f t="shared" si="3"/>
        <v>3</v>
      </c>
      <c r="G53" s="31">
        <f t="shared" si="3"/>
        <v>0</v>
      </c>
      <c r="H53" s="31">
        <f t="shared" si="3"/>
        <v>0</v>
      </c>
      <c r="I53" s="32">
        <f t="shared" si="3"/>
        <v>7</v>
      </c>
    </row>
    <row r="54" spans="2:9" x14ac:dyDescent="0.3">
      <c r="B54" s="22" t="s">
        <v>50</v>
      </c>
      <c r="C54" s="3">
        <f>COUNTA(C46:C52)</f>
        <v>4</v>
      </c>
      <c r="D54" s="3">
        <f t="shared" ref="D54:I54" si="4">COUNTA(D46:D52)</f>
        <v>6</v>
      </c>
      <c r="E54" s="3">
        <f t="shared" si="4"/>
        <v>2</v>
      </c>
      <c r="F54" s="3">
        <f t="shared" si="4"/>
        <v>7</v>
      </c>
      <c r="G54" s="3">
        <f t="shared" si="4"/>
        <v>0</v>
      </c>
      <c r="H54" s="3">
        <f t="shared" si="4"/>
        <v>7</v>
      </c>
      <c r="I54" s="33">
        <f t="shared" si="4"/>
        <v>7</v>
      </c>
    </row>
    <row r="55" spans="2:9" x14ac:dyDescent="0.3">
      <c r="B55" s="23" t="s">
        <v>51</v>
      </c>
      <c r="C55" s="34">
        <f>COUNTBLANK(C46:C52)</f>
        <v>3</v>
      </c>
      <c r="D55" s="34">
        <f t="shared" ref="D55:I55" si="5">COUNTBLANK(D46:D52)</f>
        <v>1</v>
      </c>
      <c r="E55" s="34">
        <f t="shared" si="5"/>
        <v>5</v>
      </c>
      <c r="F55" s="34">
        <f t="shared" si="5"/>
        <v>0</v>
      </c>
      <c r="G55" s="34">
        <f t="shared" si="5"/>
        <v>7</v>
      </c>
      <c r="H55" s="34">
        <f t="shared" si="5"/>
        <v>0</v>
      </c>
      <c r="I55" s="35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0316-E9F4-4CAE-9EEB-FDE868AEBBC3}">
  <dimension ref="A2:G62"/>
  <sheetViews>
    <sheetView topLeftCell="A27" workbookViewId="0">
      <selection activeCell="B31" sqref="B31:D48"/>
    </sheetView>
  </sheetViews>
  <sheetFormatPr baseColWidth="10" defaultRowHeight="14.4" x14ac:dyDescent="0.3"/>
  <cols>
    <col min="4" max="4" width="13.33203125" bestFit="1" customWidth="1"/>
  </cols>
  <sheetData>
    <row r="2" spans="1:6" ht="18" x14ac:dyDescent="0.35">
      <c r="B2" s="1" t="s">
        <v>65</v>
      </c>
    </row>
    <row r="3" spans="1:6" x14ac:dyDescent="0.3">
      <c r="A3" t="s">
        <v>66</v>
      </c>
      <c r="B3" t="s">
        <v>67</v>
      </c>
    </row>
    <row r="5" spans="1:6" x14ac:dyDescent="0.3">
      <c r="C5" t="s">
        <v>68</v>
      </c>
    </row>
    <row r="7" spans="1:6" x14ac:dyDescent="0.3">
      <c r="C7" t="s">
        <v>69</v>
      </c>
    </row>
    <row r="8" spans="1:6" x14ac:dyDescent="0.3">
      <c r="C8" t="s">
        <v>70</v>
      </c>
    </row>
    <row r="11" spans="1:6" x14ac:dyDescent="0.3">
      <c r="B11" s="19" t="s">
        <v>71</v>
      </c>
      <c r="C11" s="19" t="s">
        <v>72</v>
      </c>
      <c r="D11" s="19" t="s">
        <v>73</v>
      </c>
      <c r="F11" t="s">
        <v>74</v>
      </c>
    </row>
    <row r="12" spans="1:6" x14ac:dyDescent="0.3">
      <c r="B12" s="19">
        <v>7.0790284093291138</v>
      </c>
      <c r="C12" s="19">
        <v>58.43331638827113</v>
      </c>
      <c r="D12" s="19">
        <v>95.193713508793593</v>
      </c>
    </row>
    <row r="13" spans="1:6" x14ac:dyDescent="0.3">
      <c r="B13" s="19">
        <v>20.833553978938312</v>
      </c>
      <c r="C13" s="19">
        <v>83.714023600412077</v>
      </c>
      <c r="D13" s="19">
        <v>74.883691434522945</v>
      </c>
      <c r="F13" t="s">
        <v>75</v>
      </c>
    </row>
    <row r="14" spans="1:6" x14ac:dyDescent="0.3">
      <c r="B14" s="19">
        <v>61.464029696569312</v>
      </c>
      <c r="C14" s="19">
        <v>62.066953673655803</v>
      </c>
      <c r="D14" s="19">
        <v>61.69503477489274</v>
      </c>
    </row>
    <row r="15" spans="1:6" x14ac:dyDescent="0.3">
      <c r="B15" s="19">
        <v>66.510212743491564</v>
      </c>
      <c r="C15" s="19">
        <v>57.669830400315888</v>
      </c>
      <c r="D15" s="19">
        <v>41.471082063818677</v>
      </c>
    </row>
    <row r="16" spans="1:6" x14ac:dyDescent="0.3">
      <c r="B16" s="19">
        <v>0.56479103272683018</v>
      </c>
      <c r="C16" s="19">
        <v>92.000448117225048</v>
      </c>
      <c r="D16" s="19">
        <v>38.104122076447268</v>
      </c>
    </row>
    <row r="17" spans="2:6" x14ac:dyDescent="0.3">
      <c r="B17" s="19">
        <v>82.098245055383998</v>
      </c>
      <c r="C17" s="19">
        <v>5.0460020722753356</v>
      </c>
      <c r="D17" s="19">
        <v>2.9427535503923741</v>
      </c>
    </row>
    <row r="19" spans="2:6" x14ac:dyDescent="0.3">
      <c r="B19" t="s">
        <v>76</v>
      </c>
    </row>
    <row r="20" spans="2:6" x14ac:dyDescent="0.3">
      <c r="B20" s="39" t="s">
        <v>77</v>
      </c>
    </row>
    <row r="23" spans="2:6" x14ac:dyDescent="0.3">
      <c r="B23" t="s">
        <v>78</v>
      </c>
    </row>
    <row r="26" spans="2:6" ht="18" x14ac:dyDescent="0.35">
      <c r="B26" s="1" t="s">
        <v>79</v>
      </c>
    </row>
    <row r="27" spans="2:6" x14ac:dyDescent="0.3">
      <c r="B27" t="s">
        <v>80</v>
      </c>
    </row>
    <row r="29" spans="2:6" x14ac:dyDescent="0.3">
      <c r="B29" t="s">
        <v>81</v>
      </c>
    </row>
    <row r="31" spans="2:6" x14ac:dyDescent="0.3">
      <c r="B31" t="s">
        <v>82</v>
      </c>
      <c r="C31" t="s">
        <v>83</v>
      </c>
      <c r="D31" t="s">
        <v>84</v>
      </c>
    </row>
    <row r="32" spans="2:6" x14ac:dyDescent="0.3">
      <c r="B32" t="s">
        <v>88</v>
      </c>
      <c r="C32">
        <v>55</v>
      </c>
      <c r="D32" t="s">
        <v>103</v>
      </c>
      <c r="F32" t="s">
        <v>105</v>
      </c>
    </row>
    <row r="33" spans="2:7" x14ac:dyDescent="0.3">
      <c r="B33" t="s">
        <v>88</v>
      </c>
      <c r="C33">
        <v>36</v>
      </c>
      <c r="D33" t="s">
        <v>97</v>
      </c>
    </row>
    <row r="34" spans="2:7" x14ac:dyDescent="0.3">
      <c r="B34" t="s">
        <v>88</v>
      </c>
      <c r="C34">
        <v>25</v>
      </c>
      <c r="D34" t="s">
        <v>104</v>
      </c>
      <c r="G34" t="s">
        <v>106</v>
      </c>
    </row>
    <row r="35" spans="2:7" x14ac:dyDescent="0.3">
      <c r="B35" t="s">
        <v>86</v>
      </c>
      <c r="C35">
        <v>85</v>
      </c>
      <c r="D35" t="s">
        <v>90</v>
      </c>
      <c r="G35" t="s">
        <v>107</v>
      </c>
    </row>
    <row r="36" spans="2:7" x14ac:dyDescent="0.3">
      <c r="B36" t="s">
        <v>86</v>
      </c>
      <c r="C36">
        <v>72</v>
      </c>
      <c r="D36" t="s">
        <v>94</v>
      </c>
    </row>
    <row r="37" spans="2:7" x14ac:dyDescent="0.3">
      <c r="B37" t="s">
        <v>86</v>
      </c>
      <c r="C37">
        <v>72</v>
      </c>
      <c r="D37" t="s">
        <v>98</v>
      </c>
      <c r="G37" t="s">
        <v>108</v>
      </c>
    </row>
    <row r="38" spans="2:7" x14ac:dyDescent="0.3">
      <c r="B38" t="s">
        <v>86</v>
      </c>
      <c r="C38">
        <v>41</v>
      </c>
      <c r="D38" t="s">
        <v>93</v>
      </c>
    </row>
    <row r="39" spans="2:7" x14ac:dyDescent="0.3">
      <c r="B39" t="s">
        <v>86</v>
      </c>
      <c r="C39">
        <v>8</v>
      </c>
      <c r="D39" t="s">
        <v>96</v>
      </c>
    </row>
    <row r="40" spans="2:7" x14ac:dyDescent="0.3">
      <c r="B40" t="s">
        <v>85</v>
      </c>
      <c r="C40">
        <v>71</v>
      </c>
      <c r="D40" t="s">
        <v>95</v>
      </c>
    </row>
    <row r="41" spans="2:7" x14ac:dyDescent="0.3">
      <c r="B41" t="s">
        <v>85</v>
      </c>
      <c r="C41">
        <v>43</v>
      </c>
      <c r="D41" t="s">
        <v>89</v>
      </c>
    </row>
    <row r="42" spans="2:7" x14ac:dyDescent="0.3">
      <c r="B42" t="s">
        <v>85</v>
      </c>
      <c r="C42">
        <v>31</v>
      </c>
      <c r="D42" t="s">
        <v>100</v>
      </c>
    </row>
    <row r="43" spans="2:7" x14ac:dyDescent="0.3">
      <c r="B43" t="s">
        <v>85</v>
      </c>
      <c r="C43">
        <v>28</v>
      </c>
      <c r="D43" t="s">
        <v>102</v>
      </c>
      <c r="F43" t="s">
        <v>109</v>
      </c>
    </row>
    <row r="44" spans="2:7" x14ac:dyDescent="0.3">
      <c r="B44" t="s">
        <v>87</v>
      </c>
      <c r="C44">
        <v>79</v>
      </c>
      <c r="D44" t="s">
        <v>101</v>
      </c>
    </row>
    <row r="45" spans="2:7" x14ac:dyDescent="0.3">
      <c r="B45" t="s">
        <v>87</v>
      </c>
      <c r="C45">
        <v>57</v>
      </c>
      <c r="D45" t="s">
        <v>91</v>
      </c>
      <c r="F45" t="s">
        <v>110</v>
      </c>
    </row>
    <row r="46" spans="2:7" x14ac:dyDescent="0.3">
      <c r="B46" t="s">
        <v>87</v>
      </c>
      <c r="C46">
        <v>46</v>
      </c>
      <c r="D46" t="s">
        <v>92</v>
      </c>
    </row>
    <row r="47" spans="2:7" x14ac:dyDescent="0.3">
      <c r="B47" t="s">
        <v>87</v>
      </c>
      <c r="C47">
        <v>27</v>
      </c>
      <c r="D47" t="s">
        <v>99</v>
      </c>
    </row>
    <row r="48" spans="2:7" x14ac:dyDescent="0.3">
      <c r="B48" t="s">
        <v>87</v>
      </c>
      <c r="C48">
        <v>18</v>
      </c>
      <c r="D48" t="s">
        <v>90</v>
      </c>
    </row>
    <row r="51" spans="2:5" x14ac:dyDescent="0.3">
      <c r="B51" s="40" t="s">
        <v>126</v>
      </c>
    </row>
    <row r="53" spans="2:5" x14ac:dyDescent="0.3">
      <c r="C53" s="41" t="s">
        <v>111</v>
      </c>
      <c r="D53" s="41" t="s">
        <v>112</v>
      </c>
      <c r="E53" s="41" t="s">
        <v>113</v>
      </c>
    </row>
    <row r="54" spans="2:5" x14ac:dyDescent="0.3">
      <c r="C54" t="s">
        <v>114</v>
      </c>
      <c r="D54" t="s">
        <v>114</v>
      </c>
      <c r="E54" t="s">
        <v>122</v>
      </c>
    </row>
    <row r="55" spans="2:5" x14ac:dyDescent="0.3">
      <c r="C55" t="s">
        <v>115</v>
      </c>
      <c r="D55" t="s">
        <v>118</v>
      </c>
      <c r="E55" t="s">
        <v>123</v>
      </c>
    </row>
    <row r="56" spans="2:5" x14ac:dyDescent="0.3">
      <c r="C56" t="s">
        <v>116</v>
      </c>
      <c r="D56" t="s">
        <v>119</v>
      </c>
      <c r="E56" t="s">
        <v>124</v>
      </c>
    </row>
    <row r="57" spans="2:5" x14ac:dyDescent="0.3">
      <c r="C57" t="s">
        <v>117</v>
      </c>
      <c r="D57" t="s">
        <v>120</v>
      </c>
      <c r="E57" t="s">
        <v>125</v>
      </c>
    </row>
    <row r="58" spans="2:5" x14ac:dyDescent="0.3">
      <c r="C58" t="s">
        <v>121</v>
      </c>
      <c r="D58" t="s">
        <v>121</v>
      </c>
      <c r="E58" t="s">
        <v>121</v>
      </c>
    </row>
    <row r="61" spans="2:5" x14ac:dyDescent="0.3">
      <c r="B61" t="s">
        <v>127</v>
      </c>
    </row>
    <row r="62" spans="2:5" x14ac:dyDescent="0.3">
      <c r="B62" t="s">
        <v>128</v>
      </c>
    </row>
  </sheetData>
  <autoFilter ref="B31:D48" xr:uid="{C3A00316-E9F4-4CAE-9EEB-FDE868AEBBC3}"/>
  <sortState xmlns:xlrd2="http://schemas.microsoft.com/office/spreadsheetml/2017/richdata2" ref="B32:D48">
    <sortCondition ref="B32:B48"/>
    <sortCondition descending="1" ref="C32:C48"/>
  </sortState>
  <hyperlinks>
    <hyperlink ref="B20" r:id="rId1" xr:uid="{490D74EF-AA83-4291-B8B5-641964D9E127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F40-13C5-4E72-B99F-24CA8C8C9E87}">
  <dimension ref="B2:K59"/>
  <sheetViews>
    <sheetView topLeftCell="A33" workbookViewId="0">
      <selection activeCell="D61" sqref="D61"/>
    </sheetView>
  </sheetViews>
  <sheetFormatPr baseColWidth="10" defaultRowHeight="14.4" x14ac:dyDescent="0.3"/>
  <sheetData>
    <row r="2" spans="2:7" ht="18" x14ac:dyDescent="0.35">
      <c r="B2" s="1" t="s">
        <v>129</v>
      </c>
    </row>
    <row r="4" spans="2:7" x14ac:dyDescent="0.3">
      <c r="C4" s="3" t="s">
        <v>134</v>
      </c>
    </row>
    <row r="5" spans="2:7" x14ac:dyDescent="0.3">
      <c r="C5" s="3"/>
    </row>
    <row r="6" spans="2:7" x14ac:dyDescent="0.3">
      <c r="C6" s="3"/>
      <c r="D6" t="s">
        <v>135</v>
      </c>
    </row>
    <row r="7" spans="2:7" x14ac:dyDescent="0.3">
      <c r="C7" s="3"/>
      <c r="D7" t="s">
        <v>136</v>
      </c>
    </row>
    <row r="8" spans="2:7" x14ac:dyDescent="0.3">
      <c r="C8" s="3"/>
    </row>
    <row r="9" spans="2:7" x14ac:dyDescent="0.3">
      <c r="C9" s="3" t="s">
        <v>137</v>
      </c>
    </row>
    <row r="10" spans="2:7" x14ac:dyDescent="0.3">
      <c r="E10" t="s">
        <v>138</v>
      </c>
    </row>
    <row r="12" spans="2:7" x14ac:dyDescent="0.3">
      <c r="D12" t="s">
        <v>130</v>
      </c>
      <c r="E12" s="43">
        <v>45918</v>
      </c>
      <c r="G12" t="s">
        <v>139</v>
      </c>
    </row>
    <row r="13" spans="2:7" x14ac:dyDescent="0.3">
      <c r="D13" t="s">
        <v>131</v>
      </c>
      <c r="E13" s="3">
        <v>8000</v>
      </c>
    </row>
    <row r="15" spans="2:7" x14ac:dyDescent="0.3">
      <c r="C15" s="3" t="s">
        <v>132</v>
      </c>
    </row>
    <row r="16" spans="2:7" x14ac:dyDescent="0.3">
      <c r="C16" s="3"/>
    </row>
    <row r="17" spans="3:6" x14ac:dyDescent="0.3">
      <c r="C17" s="3"/>
      <c r="D17" t="s">
        <v>142</v>
      </c>
    </row>
    <row r="18" spans="3:6" x14ac:dyDescent="0.3">
      <c r="C18" s="3"/>
      <c r="D18" t="s">
        <v>140</v>
      </c>
    </row>
    <row r="19" spans="3:6" x14ac:dyDescent="0.3">
      <c r="C19" s="3"/>
      <c r="D19" t="s">
        <v>141</v>
      </c>
    </row>
    <row r="21" spans="3:6" x14ac:dyDescent="0.3">
      <c r="C21" s="3" t="s">
        <v>133</v>
      </c>
    </row>
    <row r="22" spans="3:6" x14ac:dyDescent="0.3">
      <c r="C22" s="3"/>
    </row>
    <row r="23" spans="3:6" x14ac:dyDescent="0.3">
      <c r="C23" s="3"/>
      <c r="D23" t="s">
        <v>143</v>
      </c>
    </row>
    <row r="24" spans="3:6" x14ac:dyDescent="0.3">
      <c r="C24" s="3"/>
      <c r="D24" t="s">
        <v>140</v>
      </c>
    </row>
    <row r="25" spans="3:6" x14ac:dyDescent="0.3">
      <c r="C25" s="3"/>
      <c r="D25" t="s">
        <v>144</v>
      </c>
    </row>
    <row r="27" spans="3:6" x14ac:dyDescent="0.3">
      <c r="C27" s="3"/>
    </row>
    <row r="28" spans="3:6" x14ac:dyDescent="0.3">
      <c r="C28" s="3" t="s">
        <v>145</v>
      </c>
    </row>
    <row r="31" spans="3:6" x14ac:dyDescent="0.3">
      <c r="C31" s="3" t="s">
        <v>146</v>
      </c>
    </row>
    <row r="32" spans="3:6" x14ac:dyDescent="0.3">
      <c r="F32" t="s">
        <v>147</v>
      </c>
    </row>
    <row r="35" spans="2:10" ht="18" x14ac:dyDescent="0.35">
      <c r="B35" s="1" t="s">
        <v>148</v>
      </c>
      <c r="E35" s="42"/>
    </row>
    <row r="37" spans="2:10" x14ac:dyDescent="0.3">
      <c r="B37" t="s">
        <v>149</v>
      </c>
    </row>
    <row r="38" spans="2:10" x14ac:dyDescent="0.3">
      <c r="B38" t="s">
        <v>150</v>
      </c>
      <c r="E38" s="2" t="s">
        <v>151</v>
      </c>
    </row>
    <row r="40" spans="2:10" x14ac:dyDescent="0.3">
      <c r="C40" t="s">
        <v>155</v>
      </c>
      <c r="J40" t="s">
        <v>152</v>
      </c>
    </row>
    <row r="41" spans="2:10" x14ac:dyDescent="0.3">
      <c r="C41" t="s">
        <v>156</v>
      </c>
      <c r="J41" t="s">
        <v>153</v>
      </c>
    </row>
    <row r="42" spans="2:10" x14ac:dyDescent="0.3">
      <c r="C42" t="s">
        <v>157</v>
      </c>
      <c r="J42" t="s">
        <v>154</v>
      </c>
    </row>
    <row r="43" spans="2:10" x14ac:dyDescent="0.3">
      <c r="C43" t="s">
        <v>158</v>
      </c>
    </row>
    <row r="45" spans="2:10" x14ac:dyDescent="0.3">
      <c r="B45" t="s">
        <v>160</v>
      </c>
    </row>
    <row r="46" spans="2:10" x14ac:dyDescent="0.3">
      <c r="B46" t="s">
        <v>161</v>
      </c>
    </row>
    <row r="47" spans="2:10" x14ac:dyDescent="0.3">
      <c r="B47" t="s">
        <v>162</v>
      </c>
    </row>
    <row r="49" spans="2:11" x14ac:dyDescent="0.3">
      <c r="B49" s="46" t="s">
        <v>159</v>
      </c>
      <c r="C49" s="46" t="s">
        <v>163</v>
      </c>
      <c r="H49" s="44" t="s">
        <v>164</v>
      </c>
      <c r="I49" s="44"/>
      <c r="J49" s="44"/>
      <c r="K49" s="44"/>
    </row>
    <row r="50" spans="2:11" x14ac:dyDescent="0.3">
      <c r="B50" s="47">
        <v>2340078</v>
      </c>
      <c r="C50" s="45" t="str">
        <f>VLOOKUP(B50,H50:K59,2,FALSE)</f>
        <v>Alicia</v>
      </c>
      <c r="H50" s="29" t="s">
        <v>159</v>
      </c>
      <c r="I50" s="29" t="s">
        <v>165</v>
      </c>
      <c r="J50" s="29" t="s">
        <v>166</v>
      </c>
      <c r="K50" s="29" t="s">
        <v>167</v>
      </c>
    </row>
    <row r="51" spans="2:11" x14ac:dyDescent="0.3">
      <c r="H51" s="29">
        <v>2340027</v>
      </c>
      <c r="I51" t="s">
        <v>92</v>
      </c>
      <c r="J51" s="42">
        <v>36892</v>
      </c>
      <c r="K51" s="29" t="s">
        <v>175</v>
      </c>
    </row>
    <row r="52" spans="2:11" x14ac:dyDescent="0.3">
      <c r="B52" t="s">
        <v>177</v>
      </c>
      <c r="H52" s="29">
        <v>159263</v>
      </c>
      <c r="I52" t="s">
        <v>168</v>
      </c>
      <c r="J52" s="42">
        <v>36923</v>
      </c>
      <c r="K52" s="29" t="s">
        <v>176</v>
      </c>
    </row>
    <row r="53" spans="2:11" x14ac:dyDescent="0.3">
      <c r="H53" s="29">
        <v>2340078</v>
      </c>
      <c r="I53" t="s">
        <v>169</v>
      </c>
      <c r="J53" s="42">
        <v>36951</v>
      </c>
      <c r="K53" s="29" t="s">
        <v>176</v>
      </c>
    </row>
    <row r="54" spans="2:11" x14ac:dyDescent="0.3">
      <c r="C54" s="3" t="s">
        <v>178</v>
      </c>
      <c r="D54" t="s">
        <v>179</v>
      </c>
      <c r="H54" s="29">
        <v>2450065</v>
      </c>
      <c r="I54" t="s">
        <v>100</v>
      </c>
      <c r="J54" s="42">
        <v>36982</v>
      </c>
      <c r="K54" s="29" t="s">
        <v>175</v>
      </c>
    </row>
    <row r="55" spans="2:11" x14ac:dyDescent="0.3">
      <c r="C55" s="3" t="s">
        <v>180</v>
      </c>
      <c r="D55" t="s">
        <v>181</v>
      </c>
      <c r="H55" s="29">
        <v>2180097</v>
      </c>
      <c r="I55" t="s">
        <v>170</v>
      </c>
      <c r="J55" s="42">
        <v>37012</v>
      </c>
      <c r="K55" s="29" t="s">
        <v>176</v>
      </c>
    </row>
    <row r="56" spans="2:11" x14ac:dyDescent="0.3">
      <c r="C56" s="3" t="s">
        <v>182</v>
      </c>
      <c r="D56" t="s">
        <v>183</v>
      </c>
      <c r="H56" s="29">
        <v>1234567</v>
      </c>
      <c r="I56" t="s">
        <v>171</v>
      </c>
      <c r="J56" s="42">
        <v>37043</v>
      </c>
      <c r="K56" s="29" t="s">
        <v>175</v>
      </c>
    </row>
    <row r="57" spans="2:11" x14ac:dyDescent="0.3">
      <c r="C57" s="48" t="s">
        <v>184</v>
      </c>
      <c r="D57" t="b">
        <v>0</v>
      </c>
      <c r="H57" s="29">
        <v>1230089</v>
      </c>
      <c r="I57" t="s">
        <v>172</v>
      </c>
      <c r="J57" s="42">
        <v>37073</v>
      </c>
      <c r="K57" s="29" t="s">
        <v>175</v>
      </c>
    </row>
    <row r="58" spans="2:11" x14ac:dyDescent="0.3">
      <c r="H58" s="29">
        <v>1230077</v>
      </c>
      <c r="I58" t="s">
        <v>173</v>
      </c>
      <c r="J58" s="42">
        <v>37104</v>
      </c>
      <c r="K58" s="29" t="s">
        <v>175</v>
      </c>
    </row>
    <row r="59" spans="2:11" x14ac:dyDescent="0.3">
      <c r="H59" s="29">
        <v>2110022</v>
      </c>
      <c r="I59" t="s">
        <v>174</v>
      </c>
      <c r="J59" s="42">
        <v>37135</v>
      </c>
      <c r="K59" s="29" t="s">
        <v>175</v>
      </c>
    </row>
  </sheetData>
  <mergeCells count="1">
    <mergeCell ref="H49:K49"/>
  </mergeCells>
  <dataValidations count="1">
    <dataValidation type="list" allowBlank="1" showInputMessage="1" showErrorMessage="1" sqref="B50" xr:uid="{D351A093-44F4-463C-BE9C-3908C42AB9D7}">
      <formula1>$H$51:$H$59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A598-7C32-4485-9559-38860D8D4162}">
  <dimension ref="B2:B30"/>
  <sheetViews>
    <sheetView tabSelected="1" topLeftCell="A15" workbookViewId="0">
      <selection activeCell="L31" sqref="L31"/>
    </sheetView>
  </sheetViews>
  <sheetFormatPr baseColWidth="10" defaultRowHeight="14.4" x14ac:dyDescent="0.3"/>
  <sheetData>
    <row r="2" spans="2:2" ht="18" x14ac:dyDescent="0.35">
      <c r="B2" s="1" t="s">
        <v>185</v>
      </c>
    </row>
    <row r="4" spans="2:2" x14ac:dyDescent="0.3">
      <c r="B4" t="s">
        <v>186</v>
      </c>
    </row>
    <row r="6" spans="2:2" x14ac:dyDescent="0.3">
      <c r="B6" t="s">
        <v>187</v>
      </c>
    </row>
    <row r="7" spans="2:2" x14ac:dyDescent="0.3">
      <c r="B7" t="s">
        <v>188</v>
      </c>
    </row>
    <row r="9" spans="2:2" x14ac:dyDescent="0.3">
      <c r="B9" s="3" t="s">
        <v>189</v>
      </c>
    </row>
    <row r="10" spans="2:2" x14ac:dyDescent="0.3">
      <c r="B10" t="s">
        <v>190</v>
      </c>
    </row>
    <row r="11" spans="2:2" x14ac:dyDescent="0.3">
      <c r="B11" t="s">
        <v>191</v>
      </c>
    </row>
    <row r="13" spans="2:2" x14ac:dyDescent="0.3">
      <c r="B13" s="3" t="s">
        <v>192</v>
      </c>
    </row>
    <row r="14" spans="2:2" x14ac:dyDescent="0.3">
      <c r="B14" t="s">
        <v>193</v>
      </c>
    </row>
    <row r="15" spans="2:2" x14ac:dyDescent="0.3">
      <c r="B15" t="s">
        <v>194</v>
      </c>
    </row>
    <row r="17" spans="2:2" x14ac:dyDescent="0.3">
      <c r="B17" s="3" t="s">
        <v>195</v>
      </c>
    </row>
    <row r="18" spans="2:2" x14ac:dyDescent="0.3">
      <c r="B18" t="s">
        <v>196</v>
      </c>
    </row>
    <row r="19" spans="2:2" x14ac:dyDescent="0.3">
      <c r="B19" t="s">
        <v>197</v>
      </c>
    </row>
    <row r="20" spans="2:2" x14ac:dyDescent="0.3">
      <c r="B20" t="s">
        <v>198</v>
      </c>
    </row>
    <row r="22" spans="2:2" x14ac:dyDescent="0.3">
      <c r="B22" s="3" t="s">
        <v>199</v>
      </c>
    </row>
    <row r="23" spans="2:2" x14ac:dyDescent="0.3">
      <c r="B23" t="s">
        <v>200</v>
      </c>
    </row>
    <row r="24" spans="2:2" x14ac:dyDescent="0.3">
      <c r="B24" t="s">
        <v>201</v>
      </c>
    </row>
    <row r="26" spans="2:2" x14ac:dyDescent="0.3">
      <c r="B26" s="3" t="s">
        <v>202</v>
      </c>
    </row>
    <row r="27" spans="2:2" x14ac:dyDescent="0.3">
      <c r="B27" t="s">
        <v>203</v>
      </c>
    </row>
    <row r="28" spans="2:2" x14ac:dyDescent="0.3">
      <c r="B28" t="s">
        <v>204</v>
      </c>
    </row>
    <row r="30" spans="2:2" x14ac:dyDescent="0.3">
      <c r="B30" t="s">
        <v>205</v>
      </c>
    </row>
  </sheetData>
  <conditionalFormatting sqref="B2:B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{881630B2-82F7-42A1-9F42-D006A625C280}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630B2-82F7-42A1-9F42-D006A625C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Improvisation</vt:lpstr>
      <vt:lpstr>Fonctions mathématiques</vt:lpstr>
      <vt:lpstr>Tableaux, filtres et tris</vt:lpstr>
      <vt:lpstr>Validation et recherche</vt:lpstr>
      <vt:lpstr>Mise en forme cond.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Sébastien Rousseau</cp:lastModifiedBy>
  <dcterms:created xsi:type="dcterms:W3CDTF">2015-06-05T18:19:34Z</dcterms:created>
  <dcterms:modified xsi:type="dcterms:W3CDTF">2025-09-18T17:37:16Z</dcterms:modified>
</cp:coreProperties>
</file>